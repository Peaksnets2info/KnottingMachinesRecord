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definedNames>
    <definedName name="_xlnm._FilterDatabase" localSheetId="0" hidden="1">Sheet1!$A$1:$I$30</definedName>
  </definedNames>
  <calcPr calcId="144525"/>
</workbook>
</file>

<file path=xl/sharedStrings.xml><?xml version="1.0" encoding="utf-8"?>
<sst xmlns="http://schemas.openxmlformats.org/spreadsheetml/2006/main" count="35" uniqueCount="26">
  <si>
    <t>杨祖元2026年3-4月份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</si>
  <si>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</si>
  <si>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</si>
  <si>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</si>
  <si>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</si>
  <si>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</si>
  <si>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</si>
  <si>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</si>
  <si>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</si>
  <si>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</si>
  <si>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3.11日</t>
  </si>
  <si>
    <t>2股*8.25（3-1/4"）**100*1550</t>
  </si>
  <si>
    <t>合计</t>
  </si>
  <si>
    <t>送丝</t>
  </si>
  <si>
    <t>丝径</t>
  </si>
  <si>
    <t>件数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</si>
  <si>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</si>
  <si>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</si>
  <si>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</si>
  <si>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</si>
  <si>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</si>
  <si>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</si>
  <si>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</si>
  <si>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</si>
  <si>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</si>
  <si>
    <t>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</si>
</sst>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6"/>
      <color indexed="10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2" fillId="20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58" fontId="0" fillId="0" borderId="1" xfId="0" applyNumberFormat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58" fontId="3" fillId="0" borderId="1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A1" sqref="A1:I1"/>
    </sheetView>
  </sheetViews>
  <sheetFormatPr defaultColWidth="9" defaultRowHeight="13.5"/>
  <cols>
    <col min="1" max="1" width="10" customWidth="1"/>
    <col min="2" max="2" width="29.5" customWidth="1"/>
    <col min="3" max="3" width="7.75" customWidth="1"/>
    <col min="4" max="5" width="8.25" customWidth="1"/>
    <col min="6" max="6" width="8.375" customWidth="1"/>
    <col min="7" max="7" width="8" customWidth="1"/>
    <col min="8" max="8" width="11.12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2" t="s">
        <v>11</v>
      </c>
      <c r="C3" s="2">
        <v>720</v>
      </c>
      <c r="D3" s="2">
        <v>100</v>
      </c>
      <c r="E3" s="2">
        <v>775</v>
      </c>
      <c r="F3" s="4">
        <v>0.1</v>
      </c>
      <c r="G3" s="2">
        <f>TRUNC(SUM(D3*E3*F3/1000),2)</f>
        <v>7.75</v>
      </c>
      <c r="H3" s="2">
        <f>C3*G3</f>
        <v>5580</v>
      </c>
      <c r="I3" s="15">
        <v>940</v>
      </c>
    </row>
    <row r="4" spans="1:9">
      <c r="A4" s="5"/>
      <c r="B4" s="4" t="s">
        <v>11</v>
      </c>
      <c r="C4" s="2">
        <v>624</v>
      </c>
      <c r="D4" s="2">
        <v>100</v>
      </c>
      <c r="E4" s="2">
        <v>775</v>
      </c>
      <c r="F4" s="4">
        <v>0.1</v>
      </c>
      <c r="G4" s="2">
        <f>TRUNC(SUM(D4*E4*F4/1000),2)</f>
        <v>7.75</v>
      </c>
      <c r="H4" s="2">
        <f>G4*C4</f>
        <v>4836</v>
      </c>
      <c r="I4" s="15">
        <v>829.4</v>
      </c>
    </row>
    <row r="5" spans="1:9">
      <c r="A5" s="5"/>
      <c r="B5" s="4" t="s">
        <v>11</v>
      </c>
      <c r="C5" s="2">
        <v>672</v>
      </c>
      <c r="D5" s="2">
        <v>100</v>
      </c>
      <c r="E5" s="2">
        <v>775</v>
      </c>
      <c r="F5" s="4">
        <v>0.1</v>
      </c>
      <c r="G5" s="2">
        <f>TRUNC(SUM(D5*E5*F5/1000),2)</f>
        <v>7.75</v>
      </c>
      <c r="H5" s="2">
        <f>G5*C5</f>
        <v>5208</v>
      </c>
      <c r="I5" s="15">
        <v>893.2</v>
      </c>
    </row>
    <row r="6" spans="1:9">
      <c r="A6" s="5"/>
      <c r="B6" s="4" t="s">
        <v>11</v>
      </c>
      <c r="C6" s="2">
        <v>624</v>
      </c>
      <c r="D6" s="2">
        <v>100</v>
      </c>
      <c r="E6" s="2">
        <v>775</v>
      </c>
      <c r="F6" s="4">
        <v>0.1</v>
      </c>
      <c r="G6" s="2">
        <f>TRUNC(SUM(D6*E6*F6/1000),2)</f>
        <v>7.75</v>
      </c>
      <c r="H6" s="2">
        <f>G6*C6</f>
        <v>4836</v>
      </c>
      <c r="I6" s="15">
        <v>819.8</v>
      </c>
    </row>
    <row r="7" spans="1:9">
      <c r="A7" s="5"/>
      <c r="B7" s="4" t="s">
        <v>11</v>
      </c>
      <c r="C7" s="2">
        <v>1160</v>
      </c>
      <c r="D7" s="2">
        <v>100</v>
      </c>
      <c r="E7" s="2">
        <v>775</v>
      </c>
      <c r="F7" s="4">
        <v>0.1</v>
      </c>
      <c r="G7" s="2">
        <f>TRUNC(SUM(D7*E7*F7/1000),2)</f>
        <v>7.75</v>
      </c>
      <c r="H7" s="2">
        <f>G7*C7</f>
        <v>8990</v>
      </c>
      <c r="I7" s="15">
        <v>1521.2</v>
      </c>
    </row>
    <row r="8" ht="15" customHeight="1" spans="1:9">
      <c r="A8" s="5"/>
      <c r="B8" s="2" t="s">
        <v>12</v>
      </c>
      <c r="C8" s="2">
        <f>SUM(C3:C7)</f>
        <v>3800</v>
      </c>
      <c r="D8" s="2"/>
      <c r="E8" s="2"/>
      <c r="F8" s="2"/>
      <c r="G8" s="2"/>
      <c r="H8" s="2">
        <f>SUM(H3:H7)</f>
        <v>29450</v>
      </c>
      <c r="I8" s="15">
        <f>SUM(I3:I7)</f>
        <v>5003.6</v>
      </c>
    </row>
    <row r="9" spans="1:9">
      <c r="A9" s="1"/>
      <c r="B9" s="1"/>
      <c r="C9" s="2"/>
      <c r="D9" s="2"/>
      <c r="E9" s="2"/>
      <c r="F9" s="2"/>
      <c r="G9" s="2"/>
      <c r="H9" s="2"/>
      <c r="I9" s="2"/>
    </row>
    <row r="10" ht="14.25" spans="1:4">
      <c r="A10" s="6"/>
      <c r="B10" s="6"/>
      <c r="C10" s="6"/>
      <c r="D10" s="6"/>
    </row>
    <row r="11" ht="14.25" spans="1:4">
      <c r="A11" s="7" t="s">
        <v>13</v>
      </c>
      <c r="B11" s="7"/>
      <c r="C11" s="7"/>
      <c r="D11" s="7"/>
    </row>
    <row r="12" ht="14.25" spans="1:4">
      <c r="A12" s="8" t="s">
        <v>1</v>
      </c>
      <c r="B12" s="8" t="s">
        <v>14</v>
      </c>
      <c r="C12" s="8" t="s">
        <v>15</v>
      </c>
      <c r="D12" s="8" t="s">
        <v>9</v>
      </c>
    </row>
    <row r="13" spans="1:4">
      <c r="A13" s="9"/>
      <c r="B13" s="10"/>
      <c r="C13" s="11">
        <v>0</v>
      </c>
      <c r="D13" s="11">
        <v>0</v>
      </c>
    </row>
    <row r="14" spans="1:4">
      <c r="A14" s="12"/>
      <c r="B14" s="10"/>
      <c r="C14" s="2">
        <v>0</v>
      </c>
      <c r="D14" s="11">
        <v>0</v>
      </c>
    </row>
    <row r="15" spans="1:4">
      <c r="A15" s="1" t="s">
        <v>12</v>
      </c>
      <c r="B15" s="1"/>
      <c r="C15" s="2"/>
      <c r="D15" s="2">
        <f>SUM(D13:D14)</f>
        <v>0</v>
      </c>
    </row>
    <row r="17" spans="1:2">
      <c r="A17" s="1" t="s">
        <v>16</v>
      </c>
      <c r="B17" s="1"/>
    </row>
    <row r="18" spans="1:2">
      <c r="A18" s="2" t="s">
        <v>17</v>
      </c>
      <c r="B18" s="2">
        <f>I8</f>
        <v>5003.6</v>
      </c>
    </row>
    <row r="19" spans="1:2">
      <c r="A19" s="2" t="s">
        <v>18</v>
      </c>
      <c r="B19" s="2">
        <f>-D15</f>
        <v>0</v>
      </c>
    </row>
    <row r="20" spans="1:2">
      <c r="A20" s="2" t="s">
        <v>19</v>
      </c>
      <c r="B20" s="2">
        <v>0</v>
      </c>
    </row>
    <row r="21" spans="1:2">
      <c r="A21" s="2" t="s">
        <v>12</v>
      </c>
      <c r="B21" s="2">
        <v>0</v>
      </c>
    </row>
    <row r="23" spans="1:2">
      <c r="A23" s="2" t="s">
        <v>20</v>
      </c>
      <c r="B23" s="2">
        <v>0</v>
      </c>
    </row>
    <row r="24" spans="1:2">
      <c r="A24" s="2" t="s">
        <v>21</v>
      </c>
      <c r="B24" s="2">
        <v>0</v>
      </c>
    </row>
    <row r="25" spans="1:2">
      <c r="A25" s="3">
        <v>0</v>
      </c>
      <c r="B25" s="2">
        <v>0</v>
      </c>
    </row>
    <row r="26" spans="1:2">
      <c r="A26" s="3">
        <v>0</v>
      </c>
      <c r="B26" s="2">
        <v>0</v>
      </c>
    </row>
    <row r="27" spans="1:2">
      <c r="A27" s="2" t="s">
        <v>12</v>
      </c>
      <c r="B27" s="2">
        <f>SUM(B23:B26)</f>
        <v>0</v>
      </c>
    </row>
    <row r="29" ht="20.25" spans="1:9">
      <c r="A29" s="13" t="s">
        <v>22</v>
      </c>
      <c r="B29" s="13"/>
      <c r="C29" s="13"/>
      <c r="D29" s="13"/>
      <c r="E29" s="13"/>
      <c r="F29" s="13"/>
      <c r="G29" s="13"/>
      <c r="H29" s="14">
        <f>B27</f>
        <v>0</v>
      </c>
      <c r="I29" s="14" t="s">
        <v>23</v>
      </c>
    </row>
    <row r="30" ht="20.25" spans="1:9">
      <c r="A30" s="13" t="s">
        <v>24</v>
      </c>
      <c r="B30" s="13"/>
      <c r="C30" s="13"/>
      <c r="D30" s="13"/>
      <c r="E30" s="13"/>
      <c r="F30" s="13"/>
      <c r="G30" s="13"/>
      <c r="H30" s="14">
        <v>0</v>
      </c>
      <c r="I30" s="14" t="s">
        <v>25</v>
      </c>
    </row>
  </sheetData>
  <mergeCells count="7">
    <mergeCell ref="A1:I1"/>
    <mergeCell ref="A9:B9"/>
    <mergeCell ref="A11:D11"/>
    <mergeCell ref="A15:B15"/>
    <mergeCell ref="A17:B17"/>
    <mergeCell ref="A29:G29"/>
    <mergeCell ref="A30:G30"/>
  </mergeCells>
  <pageMargins left="0.275" right="0.0784722222222222" top="0.393055555555556" bottom="0.472222222222222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2023-07-31T01:26:00Z</dcterms:created>
  <dcterms:modified xsi:type="dcterms:W3CDTF">2026-03-18T15:16:41Z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8E3F65CA1B9A4BB89BA78BC8D9DEA7F1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