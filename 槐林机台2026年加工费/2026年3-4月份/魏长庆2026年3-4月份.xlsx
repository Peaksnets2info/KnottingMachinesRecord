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<sst xmlns="http://schemas.openxmlformats.org/spreadsheetml/2006/main" count="36" uniqueCount="27">
  <si>
    <t>魏长庆2026年3-4月份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</si>
  <si>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</si>
  <si>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</si>
  <si>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</si>
  <si>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</si>
  <si>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</si>
  <si>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</si>
  <si>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</si>
  <si>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</si>
  <si>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</si>
  <si>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0.20*21*50*850</t>
  </si>
  <si>
    <t>0.20*23*50*750</t>
  </si>
  <si>
    <t>合计</t>
  </si>
  <si>
    <t>送丝</t>
  </si>
  <si>
    <t>丝径</t>
  </si>
  <si>
    <t>件数</t>
  </si>
  <si>
    <t>重量（斤）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</si>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</sst>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9" fillId="14" borderId="5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2" xfId="0" applyNumberFormat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58" fontId="0" fillId="0" borderId="1" xfId="0" applyNumberFormat="1" applyBorder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A1" sqref="A1:I1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46087</v>
      </c>
      <c r="B3" s="4" t="s">
        <v>10</v>
      </c>
      <c r="C3" s="4">
        <v>0</v>
      </c>
      <c r="D3" s="4">
        <v>50</v>
      </c>
      <c r="E3" s="4">
        <v>425</v>
      </c>
      <c r="F3" s="5">
        <v>0.1</v>
      </c>
      <c r="G3" s="6"/>
      <c r="H3" s="4">
        <f t="shared" ref="H3:H9" si="0">F3*I3</f>
        <v>149.02</v>
      </c>
      <c r="I3" s="4">
        <v>1490.2</v>
      </c>
    </row>
    <row r="4" spans="1:9">
      <c r="A4" s="7">
        <v>46095</v>
      </c>
      <c r="B4" s="4" t="s">
        <v>10</v>
      </c>
      <c r="C4" s="4">
        <v>0</v>
      </c>
      <c r="D4" s="4">
        <v>50</v>
      </c>
      <c r="E4" s="4">
        <v>425</v>
      </c>
      <c r="F4" s="5">
        <v>0.1</v>
      </c>
      <c r="G4" s="6"/>
      <c r="H4" s="4">
        <f t="shared" si="0"/>
        <v>129.46</v>
      </c>
      <c r="I4" s="4">
        <v>1294.6</v>
      </c>
    </row>
    <row r="5" spans="1:9">
      <c r="A5" s="8"/>
      <c r="B5" s="5" t="s">
        <v>11</v>
      </c>
      <c r="C5" s="4">
        <v>0</v>
      </c>
      <c r="D5" s="4">
        <v>50</v>
      </c>
      <c r="E5" s="4">
        <v>375</v>
      </c>
      <c r="F5" s="5">
        <v>0.1</v>
      </c>
      <c r="G5" s="6"/>
      <c r="H5" s="4">
        <f t="shared" si="0"/>
        <v>152.18</v>
      </c>
      <c r="I5" s="4">
        <v>1521.8</v>
      </c>
    </row>
    <row r="6" spans="1:9">
      <c r="A6" s="8"/>
      <c r="B6" s="5" t="s">
        <v>11</v>
      </c>
      <c r="C6" s="4">
        <v>0</v>
      </c>
      <c r="D6" s="4">
        <v>50</v>
      </c>
      <c r="E6" s="4">
        <v>375</v>
      </c>
      <c r="F6" s="5">
        <v>0.1</v>
      </c>
      <c r="G6" s="6"/>
      <c r="H6" s="4">
        <f t="shared" si="0"/>
        <v>131.18</v>
      </c>
      <c r="I6" s="4">
        <v>1311.8</v>
      </c>
    </row>
    <row r="7" spans="1:9">
      <c r="A7" s="9"/>
      <c r="B7" s="5" t="s">
        <v>10</v>
      </c>
      <c r="C7" s="4">
        <v>0</v>
      </c>
      <c r="D7" s="4">
        <v>50</v>
      </c>
      <c r="E7" s="4">
        <v>425</v>
      </c>
      <c r="F7" s="5">
        <v>0.1</v>
      </c>
      <c r="G7" s="6"/>
      <c r="H7" s="4">
        <f t="shared" si="0"/>
        <v>109.98</v>
      </c>
      <c r="I7" s="4">
        <v>1099.8</v>
      </c>
    </row>
    <row r="8" spans="1:9">
      <c r="A8" s="10"/>
      <c r="B8" s="5" t="s">
        <v>11</v>
      </c>
      <c r="C8" s="4">
        <v>0</v>
      </c>
      <c r="D8" s="4">
        <v>50</v>
      </c>
      <c r="E8" s="4">
        <v>375</v>
      </c>
      <c r="F8" s="5">
        <v>0.1</v>
      </c>
      <c r="G8" s="6"/>
      <c r="H8" s="4">
        <f t="shared" si="0"/>
        <v>33.06</v>
      </c>
      <c r="I8" s="4">
        <v>330.6</v>
      </c>
    </row>
    <row r="9" spans="1:9">
      <c r="A9" s="8"/>
      <c r="B9" s="5" t="s">
        <v>10</v>
      </c>
      <c r="C9" s="4">
        <v>0</v>
      </c>
      <c r="D9" s="4">
        <v>50</v>
      </c>
      <c r="E9" s="4">
        <v>425</v>
      </c>
      <c r="F9" s="5">
        <v>0.1</v>
      </c>
      <c r="G9" s="6"/>
      <c r="H9" s="4">
        <f t="shared" si="0"/>
        <v>150.7</v>
      </c>
      <c r="I9" s="4">
        <v>1507</v>
      </c>
    </row>
    <row r="10" spans="1:9">
      <c r="A10" s="11" t="s">
        <v>12</v>
      </c>
      <c r="B10" s="11"/>
      <c r="C10" s="12"/>
      <c r="D10" s="12"/>
      <c r="E10" s="12"/>
      <c r="F10" s="12"/>
      <c r="G10" s="13">
        <f>TRUNC(SUM(D10*E10*F10/1000),2)</f>
        <v>0</v>
      </c>
      <c r="H10" s="12">
        <f>SUM(H3:H9)</f>
        <v>855.58</v>
      </c>
      <c r="I10" s="12">
        <f>SUM(I3:I9)</f>
        <v>8555.8</v>
      </c>
    </row>
    <row r="11" ht="14.25" spans="1:4">
      <c r="A11" s="14" t="s">
        <v>13</v>
      </c>
      <c r="B11" s="14"/>
      <c r="C11" s="14"/>
      <c r="D11" s="14"/>
    </row>
    <row r="12" ht="14.25" spans="1:4">
      <c r="A12" s="15" t="s">
        <v>1</v>
      </c>
      <c r="B12" s="15" t="s">
        <v>14</v>
      </c>
      <c r="C12" s="15" t="s">
        <v>15</v>
      </c>
      <c r="D12" s="15" t="s">
        <v>16</v>
      </c>
    </row>
    <row r="13" ht="14.25" spans="1:4">
      <c r="A13" s="8"/>
      <c r="B13" s="15"/>
      <c r="C13" s="15">
        <v>0</v>
      </c>
      <c r="D13" s="15">
        <f>C13*40</f>
        <v>0</v>
      </c>
    </row>
    <row r="14" ht="14.25" spans="1:4">
      <c r="A14" s="8"/>
      <c r="B14" s="15"/>
      <c r="C14" s="15">
        <v>0</v>
      </c>
      <c r="D14" s="15">
        <f>C14*40</f>
        <v>0</v>
      </c>
    </row>
    <row r="15" ht="14.25" spans="1:4">
      <c r="A15" s="8"/>
      <c r="B15" s="15"/>
      <c r="C15" s="15">
        <v>0</v>
      </c>
      <c r="D15" s="15">
        <f>C15*40</f>
        <v>0</v>
      </c>
    </row>
    <row r="16" ht="14.25" spans="1:4">
      <c r="A16" s="8" t="s">
        <v>17</v>
      </c>
      <c r="B16" s="15"/>
      <c r="C16" s="15">
        <v>0</v>
      </c>
      <c r="D16" s="15">
        <f>C16*2</f>
        <v>0</v>
      </c>
    </row>
    <row r="17" ht="14.25" spans="1:4">
      <c r="A17" s="8"/>
      <c r="B17" s="15"/>
      <c r="C17" s="16"/>
      <c r="D17" s="15"/>
    </row>
    <row r="18" spans="1:4">
      <c r="A18" s="17" t="s">
        <v>12</v>
      </c>
      <c r="B18" s="17"/>
      <c r="C18" s="4"/>
      <c r="D18" s="16">
        <f>SUM(D13:D17)</f>
        <v>0</v>
      </c>
    </row>
    <row r="20" spans="1:2">
      <c r="A20" s="17" t="s">
        <v>18</v>
      </c>
      <c r="B20" s="17"/>
    </row>
    <row r="21" spans="1:9">
      <c r="A21" s="18" t="s">
        <v>19</v>
      </c>
      <c r="B21" s="19">
        <v>7872.82</v>
      </c>
      <c r="C21" s="18"/>
      <c r="D21" s="18"/>
      <c r="E21" s="18"/>
      <c r="F21" s="18"/>
      <c r="G21" s="18"/>
      <c r="H21" s="18"/>
      <c r="I21" s="18"/>
    </row>
    <row r="22" spans="1:2">
      <c r="A22" s="4" t="s">
        <v>20</v>
      </c>
      <c r="B22" s="4">
        <v>0</v>
      </c>
    </row>
    <row r="23" spans="1:2">
      <c r="A23" s="4" t="s">
        <v>21</v>
      </c>
      <c r="B23" s="4">
        <v>0</v>
      </c>
    </row>
    <row r="24" spans="1:2">
      <c r="A24" s="4" t="s">
        <v>12</v>
      </c>
      <c r="B24" s="4">
        <f>SUM(B21:B23)</f>
        <v>7872.82</v>
      </c>
    </row>
    <row r="26" spans="1:2">
      <c r="A26" s="4" t="s">
        <v>22</v>
      </c>
      <c r="B26" s="4">
        <v>0</v>
      </c>
    </row>
    <row r="27" spans="1:2">
      <c r="A27" s="4" t="s">
        <v>23</v>
      </c>
      <c r="B27" s="4">
        <v>0</v>
      </c>
    </row>
    <row r="28" spans="1:2">
      <c r="A28" s="4"/>
      <c r="B28" s="4">
        <v>0</v>
      </c>
    </row>
    <row r="29" spans="1:2">
      <c r="A29" s="4"/>
      <c r="B29" s="4">
        <v>0</v>
      </c>
    </row>
    <row r="30" spans="1:2">
      <c r="A30" s="4"/>
      <c r="B30" s="4">
        <v>0</v>
      </c>
    </row>
    <row r="31" spans="1:2">
      <c r="A31" s="4" t="s">
        <v>12</v>
      </c>
      <c r="B31" s="4">
        <f>SUM(B26:B30)</f>
        <v>0</v>
      </c>
    </row>
    <row r="33" ht="20.25" spans="1:9">
      <c r="A33" s="20" t="s">
        <v>24</v>
      </c>
      <c r="B33" s="20"/>
      <c r="C33" s="20"/>
      <c r="D33" s="20"/>
      <c r="E33" s="20"/>
      <c r="F33" s="20"/>
      <c r="G33" s="20"/>
      <c r="H33" s="21">
        <f>B31</f>
        <v>0</v>
      </c>
      <c r="I33" s="21" t="s">
        <v>25</v>
      </c>
    </row>
    <row r="34" ht="20.25" spans="1:9">
      <c r="A34" s="20" t="s">
        <v>26</v>
      </c>
      <c r="B34" s="20"/>
      <c r="C34" s="20"/>
      <c r="D34" s="20"/>
      <c r="E34" s="20"/>
      <c r="F34" s="20"/>
      <c r="G34" s="20"/>
      <c r="H34" s="21">
        <v>0</v>
      </c>
      <c r="I34" s="21"/>
    </row>
  </sheetData>
  <mergeCells count="8">
    <mergeCell ref="A1:I1"/>
    <mergeCell ref="A10:B10"/>
    <mergeCell ref="A11:D11"/>
    <mergeCell ref="A18:B18"/>
    <mergeCell ref="A20:B20"/>
    <mergeCell ref="A33:G33"/>
    <mergeCell ref="A34:G34"/>
    <mergeCell ref="A7:A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2026-03-19T15:03:24Z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0922B35DD56B40A68717172E5F3EDB5A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