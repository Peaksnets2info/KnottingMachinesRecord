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<sst xmlns="http://schemas.openxmlformats.org/spreadsheetml/2006/main" count="31" uniqueCount="27">
  <si>
    <t>胡孝祥2026年3-4月份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</si>
  <si>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</si>
  <si>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</si>
  <si>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</si>
  <si>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</si>
  <si>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</si>
  <si>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</si>
  <si>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</si>
  <si>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</si>
  <si>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</si>
  <si>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0.36*6.8*150*1440</t>
  </si>
  <si>
    <t>0.36*18.4*150*520</t>
  </si>
  <si>
    <t>合计</t>
  </si>
  <si>
    <t>送丝</t>
  </si>
  <si>
    <t>丝径</t>
  </si>
  <si>
    <t>件数</t>
  </si>
  <si>
    <t>重量（斤）</t>
  </si>
  <si>
    <t>大姐丝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</si>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</sst>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6"/>
      <color indexed="10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>
      <alignment vertical="center"/>
    </xf>
    <xf numFmtId="58" fontId="0" fillId="0" borderId="3" xfId="0" applyNumberFormat="1" applyBorder="1" applyAlignment="1">
      <alignment horizontal="center" vertical="center"/>
    </xf>
    <xf numFmtId="58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ont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J18" sqref="J18"/>
    </sheetView>
  </sheetViews>
  <sheetFormatPr defaultColWidth="8.89166666666667" defaultRowHeight="13.5"/>
  <cols>
    <col min="1" max="1" width="15.625" customWidth="1"/>
    <col min="2" max="2" width="21.3333333333333" customWidth="1"/>
    <col min="4" max="4" width="11.5" customWidth="1"/>
    <col min="8" max="8" width="12.25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46091</v>
      </c>
      <c r="B3" s="4" t="s">
        <v>10</v>
      </c>
      <c r="C3" s="4">
        <v>195</v>
      </c>
      <c r="D3" s="4">
        <v>150</v>
      </c>
      <c r="E3" s="4">
        <v>720</v>
      </c>
      <c r="F3" s="5">
        <v>0.1</v>
      </c>
      <c r="G3" s="6"/>
      <c r="H3" s="4">
        <f>F3*I3</f>
        <v>182.02</v>
      </c>
      <c r="I3" s="4">
        <v>1820.2</v>
      </c>
    </row>
    <row r="4" spans="1:9">
      <c r="A4" s="7"/>
      <c r="B4" s="4" t="s">
        <v>11</v>
      </c>
      <c r="C4" s="4">
        <v>70</v>
      </c>
      <c r="D4" s="4">
        <v>150</v>
      </c>
      <c r="E4" s="4">
        <v>260</v>
      </c>
      <c r="F4" s="5">
        <v>0.1</v>
      </c>
      <c r="G4" s="6"/>
      <c r="H4" s="4">
        <f t="shared" ref="H4:H24" si="0">F4*I4</f>
        <v>25.9</v>
      </c>
      <c r="I4" s="4">
        <v>259</v>
      </c>
    </row>
    <row r="5" spans="1:9">
      <c r="A5" s="8">
        <v>46095</v>
      </c>
      <c r="B5" s="4"/>
      <c r="C5" s="4">
        <v>260</v>
      </c>
      <c r="D5" s="4">
        <v>150</v>
      </c>
      <c r="E5" s="4">
        <v>720</v>
      </c>
      <c r="F5" s="5">
        <v>0.1</v>
      </c>
      <c r="G5" s="6"/>
      <c r="H5" s="4">
        <f t="shared" si="0"/>
        <v>109.16</v>
      </c>
      <c r="I5" s="4">
        <v>1091.6</v>
      </c>
    </row>
    <row r="6" spans="1:9">
      <c r="A6" s="8">
        <v>39825</v>
      </c>
      <c r="B6" s="4"/>
      <c r="C6" s="4">
        <v>445</v>
      </c>
      <c r="D6" s="4">
        <v>150</v>
      </c>
      <c r="E6" s="4">
        <v>225</v>
      </c>
      <c r="F6" s="5">
        <v>0.1</v>
      </c>
      <c r="G6" s="6"/>
      <c r="H6" s="4">
        <f t="shared" si="0"/>
        <v>161.02</v>
      </c>
      <c r="I6" s="4">
        <v>1610.2</v>
      </c>
    </row>
    <row r="7" spans="1:9">
      <c r="A7" s="8">
        <v>39829</v>
      </c>
      <c r="B7" s="4"/>
      <c r="C7" s="4">
        <v>300</v>
      </c>
      <c r="D7" s="4">
        <v>150</v>
      </c>
      <c r="E7" s="4">
        <v>225</v>
      </c>
      <c r="F7" s="5">
        <v>0.1</v>
      </c>
      <c r="G7" s="6"/>
      <c r="H7" s="4">
        <f t="shared" si="0"/>
        <v>108.46</v>
      </c>
      <c r="I7" s="4">
        <v>1084.6</v>
      </c>
    </row>
    <row r="8" spans="1:9">
      <c r="A8" s="8">
        <v>39836</v>
      </c>
      <c r="B8" s="4"/>
      <c r="C8" s="4">
        <v>450</v>
      </c>
      <c r="D8" s="4">
        <v>150</v>
      </c>
      <c r="E8" s="4">
        <v>260</v>
      </c>
      <c r="F8" s="5">
        <v>0.1</v>
      </c>
      <c r="G8" s="6"/>
      <c r="H8" s="4">
        <f t="shared" si="0"/>
        <v>168.18</v>
      </c>
      <c r="I8" s="4">
        <v>1681.8</v>
      </c>
    </row>
    <row r="9" spans="1:9">
      <c r="A9" s="8">
        <v>39840</v>
      </c>
      <c r="B9" s="4"/>
      <c r="C9" s="4">
        <v>290</v>
      </c>
      <c r="D9" s="4">
        <v>150</v>
      </c>
      <c r="E9" s="4">
        <v>260</v>
      </c>
      <c r="F9" s="5">
        <v>0.1</v>
      </c>
      <c r="G9" s="6"/>
      <c r="H9" s="4">
        <f t="shared" si="0"/>
        <v>109.44</v>
      </c>
      <c r="I9" s="4">
        <v>1094.4</v>
      </c>
    </row>
    <row r="10" spans="1:9">
      <c r="A10" s="8">
        <v>39844</v>
      </c>
      <c r="B10" s="4"/>
      <c r="C10" s="4">
        <v>355</v>
      </c>
      <c r="D10" s="4">
        <v>150</v>
      </c>
      <c r="E10" s="4">
        <v>260</v>
      </c>
      <c r="F10" s="5">
        <v>0.1</v>
      </c>
      <c r="G10" s="6"/>
      <c r="H10" s="4">
        <f t="shared" si="0"/>
        <v>131.26</v>
      </c>
      <c r="I10" s="4">
        <v>1312.6</v>
      </c>
    </row>
    <row r="11" spans="1:9">
      <c r="A11" s="8">
        <v>39847</v>
      </c>
      <c r="B11" s="4"/>
      <c r="C11" s="4">
        <v>280</v>
      </c>
      <c r="D11" s="4">
        <v>150</v>
      </c>
      <c r="E11" s="4">
        <v>260</v>
      </c>
      <c r="F11" s="5">
        <v>0.1</v>
      </c>
      <c r="G11" s="6"/>
      <c r="H11" s="4">
        <f t="shared" si="0"/>
        <v>103.64</v>
      </c>
      <c r="I11" s="4">
        <v>1036.4</v>
      </c>
    </row>
    <row r="12" spans="1:9">
      <c r="A12" s="9" t="s">
        <v>12</v>
      </c>
      <c r="B12" s="9"/>
      <c r="C12" s="10"/>
      <c r="D12" s="10"/>
      <c r="E12" s="10"/>
      <c r="F12" s="10"/>
      <c r="G12" s="11">
        <f>TRUNC(SUM(D12*E12*F12/1000),2)</f>
        <v>0</v>
      </c>
      <c r="H12" s="10">
        <f>SUM(H3:H11)</f>
        <v>1099.08</v>
      </c>
      <c r="I12" s="10">
        <f>SUM(I3:I11)</f>
        <v>10990.8</v>
      </c>
    </row>
    <row r="13" ht="14.25" spans="1:4">
      <c r="A13" s="12" t="s">
        <v>13</v>
      </c>
      <c r="B13" s="12"/>
      <c r="C13" s="12"/>
      <c r="D13" s="12"/>
    </row>
    <row r="14" ht="14.25" spans="1:4">
      <c r="A14" s="13" t="s">
        <v>1</v>
      </c>
      <c r="B14" s="13" t="s">
        <v>14</v>
      </c>
      <c r="C14" s="13" t="s">
        <v>15</v>
      </c>
      <c r="D14" s="13" t="s">
        <v>16</v>
      </c>
    </row>
    <row r="15" ht="14.25" spans="1:4">
      <c r="A15" s="8"/>
      <c r="B15" s="13"/>
      <c r="C15" s="13">
        <v>0</v>
      </c>
      <c r="D15" s="13">
        <f>C15*40</f>
        <v>0</v>
      </c>
    </row>
    <row r="16" ht="14.25" spans="1:4">
      <c r="A16" s="8"/>
      <c r="B16" s="13"/>
      <c r="C16" s="13">
        <v>0</v>
      </c>
      <c r="D16" s="13">
        <f>C16*40</f>
        <v>0</v>
      </c>
    </row>
    <row r="17" ht="14.25" spans="1:4">
      <c r="A17" s="8"/>
      <c r="B17" s="13"/>
      <c r="C17" s="13">
        <v>0</v>
      </c>
      <c r="D17" s="13">
        <f>C17*40</f>
        <v>0</v>
      </c>
    </row>
    <row r="18" ht="14.25" spans="1:4">
      <c r="A18" s="8" t="s">
        <v>17</v>
      </c>
      <c r="B18" s="13"/>
      <c r="C18" s="13">
        <v>0</v>
      </c>
      <c r="D18" s="13">
        <f>C18*2</f>
        <v>0</v>
      </c>
    </row>
    <row r="19" ht="14.25" spans="1:4">
      <c r="A19" s="8"/>
      <c r="B19" s="13"/>
      <c r="C19" s="14"/>
      <c r="D19" s="13"/>
    </row>
    <row r="20" spans="1:4">
      <c r="A20" s="15" t="s">
        <v>12</v>
      </c>
      <c r="B20" s="15"/>
      <c r="C20" s="4"/>
      <c r="D20" s="14">
        <f>SUM(D15:D19)</f>
        <v>0</v>
      </c>
    </row>
    <row r="22" spans="1:2">
      <c r="A22" s="15" t="s">
        <v>18</v>
      </c>
      <c r="B22" s="15"/>
    </row>
    <row r="23" spans="1:9">
      <c r="A23" s="16" t="s">
        <v>19</v>
      </c>
      <c r="B23" s="16">
        <v>11657.53</v>
      </c>
      <c r="C23" s="16"/>
      <c r="D23" s="16"/>
      <c r="E23" s="16"/>
      <c r="F23" s="16"/>
      <c r="G23" s="16"/>
      <c r="H23" s="16"/>
      <c r="I23" s="16"/>
    </row>
    <row r="24" spans="1:2">
      <c r="A24" s="4" t="s">
        <v>20</v>
      </c>
      <c r="B24" s="4">
        <v>0</v>
      </c>
    </row>
    <row r="25" spans="1:2">
      <c r="A25" s="4" t="s">
        <v>21</v>
      </c>
      <c r="B25" s="4">
        <v>0</v>
      </c>
    </row>
    <row r="26" spans="1:2">
      <c r="A26" s="4" t="s">
        <v>12</v>
      </c>
      <c r="B26" s="4">
        <f>SUM(B23:B25)</f>
        <v>11657.53</v>
      </c>
    </row>
    <row r="28" spans="1:2">
      <c r="A28" s="4" t="s">
        <v>22</v>
      </c>
      <c r="B28" s="4">
        <v>0</v>
      </c>
    </row>
    <row r="29" spans="1:2">
      <c r="A29" s="4" t="s">
        <v>23</v>
      </c>
      <c r="B29" s="4">
        <v>0</v>
      </c>
    </row>
    <row r="30" spans="1:2">
      <c r="A30" s="4"/>
      <c r="B30" s="4">
        <v>0</v>
      </c>
    </row>
    <row r="31" spans="1:2">
      <c r="A31" s="4"/>
      <c r="B31" s="4">
        <v>0</v>
      </c>
    </row>
    <row r="32" spans="1:2">
      <c r="A32" s="4"/>
      <c r="B32" s="4">
        <v>0</v>
      </c>
    </row>
    <row r="33" spans="1:2">
      <c r="A33" s="4" t="s">
        <v>12</v>
      </c>
      <c r="B33" s="4">
        <f>SUM(B28:B32)</f>
        <v>0</v>
      </c>
    </row>
    <row r="35" ht="20.25" spans="1:9">
      <c r="A35" s="17" t="s">
        <v>24</v>
      </c>
      <c r="B35" s="17"/>
      <c r="C35" s="17"/>
      <c r="D35" s="17"/>
      <c r="E35" s="17"/>
      <c r="F35" s="17"/>
      <c r="G35" s="17"/>
      <c r="H35" s="18">
        <f>B33</f>
        <v>0</v>
      </c>
      <c r="I35" s="18" t="s">
        <v>25</v>
      </c>
    </row>
    <row r="36" ht="20.25" spans="1:9">
      <c r="A36" s="17" t="s">
        <v>26</v>
      </c>
      <c r="B36" s="17"/>
      <c r="C36" s="17"/>
      <c r="D36" s="17"/>
      <c r="E36" s="17"/>
      <c r="F36" s="17"/>
      <c r="G36" s="17"/>
      <c r="H36" s="18">
        <v>0</v>
      </c>
      <c r="I36" s="18"/>
    </row>
  </sheetData>
  <mergeCells count="8">
    <mergeCell ref="A1:I1"/>
    <mergeCell ref="A12:B12"/>
    <mergeCell ref="A13:D13"/>
    <mergeCell ref="A20:B20"/>
    <mergeCell ref="A22:B22"/>
    <mergeCell ref="A35:G35"/>
    <mergeCell ref="A36:G36"/>
    <mergeCell ref="A3:A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2023-08-08T02:50:00Z</dcterms:created>
  <dcterms:modified xsi:type="dcterms:W3CDTF">2026-03-18T15:05:00Z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61039F217DB14094BA53BDE66BD91C13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