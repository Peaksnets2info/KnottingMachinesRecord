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</sheets>
  <definedNames>
    <definedName name="_xlnm._FilterDatabase" localSheetId="0" hidden="1">Sheet1!$A$1:$M$42</definedName>
  </definedNames>
  <calcPr calcId="144525"/>
</workbook>
</file>

<file path=xl/sharedStrings.xml><?xml version="1.0" encoding="utf-8"?>
<sst xmlns="http://schemas.openxmlformats.org/spreadsheetml/2006/main" count="89" uniqueCount="42">
  <si>
    <t>朱宗明2026年3-4月份</t>
  </si>
  <si>
    <t>日期</t>
  </si>
  <si>
    <t>规格</t>
  </si>
  <si>
    <t>条数</t>
  </si>
  <si>
    <t>目数</t>
  </si>
  <si>
    <t>边数</t>
  </si>
  <si>
    <t>加工费</t>
  </si>
  <si>
    <t>价格/条</t>
  </si>
  <si>
    <t>金额/元</t>
  </si>
  <si>
    <t>重量/斤</t>
  </si>
  <si>
    <t>0.20*14.5*50*2570</t>
  </si>
  <si>
    <t>合计</t>
  </si>
  <si>
    <t>送丝</t>
  </si>
  <si>
    <t>丝径</t>
  </si>
  <si>
    <t>件数</t>
  </si>
  <si>
    <t>重量</t>
  </si>
  <si>
    <t>总结(负号为欠本公司）</t>
  </si>
  <si>
    <t>送网重</t>
  </si>
  <si>
    <t>上欠加工费</t>
  </si>
  <si>
    <t>本月加工费</t>
  </si>
  <si>
    <t>下欠加工费</t>
  </si>
  <si>
    <t>元</t>
  </si>
  <si>
    <t>下欠公司丝</t>
  </si>
  <si>
    <t>斤</t>
  </si>
  <si>
    <t>汪章连2025年6-7月</t>
  </si>
  <si>
    <t>2025.6月10日</t>
  </si>
  <si>
    <t>0.15*3.7*50*9500</t>
  </si>
  <si>
    <t>2025.6月13日</t>
  </si>
  <si>
    <t>0.15*4.3*100*8400</t>
  </si>
  <si>
    <t>2025.6月16日</t>
  </si>
  <si>
    <t>2025.6月22日</t>
  </si>
  <si>
    <t>2025.5月18日</t>
  </si>
  <si>
    <t>2025.5月30日</t>
  </si>
  <si>
    <t>汪章连2025年1-3月退网</t>
  </si>
  <si>
    <t>2025.3月29日</t>
  </si>
  <si>
    <t>0.15*1.7*134*10000</t>
  </si>
  <si>
    <t>不加不减</t>
  </si>
  <si>
    <t>0.15*1.4*160*10000</t>
  </si>
  <si>
    <t>件数/kg</t>
  </si>
  <si>
    <t>送丝重</t>
  </si>
  <si>
    <t>上月欠丝</t>
  </si>
  <si>
    <t>付款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</si>
</sst>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</font>
    <font>
      <b/>
      <sz val="16"/>
      <color indexed="10"/>
      <name val="宋体"/>
      <charset val="134"/>
    </font>
    <font>
      <sz val="11"/>
      <color theme="1" tint="0.05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0" fillId="13" borderId="10" applyNumberFormat="0" applyAlignment="0" applyProtection="0">
      <alignment vertical="center"/>
    </xf>
    <xf numFmtId="0" fontId="12" fillId="13" borderId="5" applyNumberFormat="0" applyAlignment="0" applyProtection="0">
      <alignment vertical="center"/>
    </xf>
    <xf numFmtId="0" fontId="21" fillId="24" borderId="11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  <xf numFmtId="58" fontId="0" fillId="0" borderId="1" xfId="0" applyNumberFormat="1" applyBorder="1" applyAlignment="1">
      <alignment vertical="center"/>
    </xf>
    <xf numFmtId="58" fontId="0" fillId="0" borderId="2" xfId="0" applyNumberFormat="1" applyBorder="1" applyAlignment="1">
      <alignment vertical="center"/>
    </xf>
    <xf numFmtId="58" fontId="0" fillId="0" borderId="2" xfId="0" applyNumberFormat="1" applyBorder="1" applyAlignment="1">
      <alignment horizontal="center" vertical="center"/>
    </xf>
    <xf numFmtId="58" fontId="0" fillId="0" borderId="3" xfId="0" applyNumberForma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vertical="center"/>
    </xf>
    <xf numFmtId="0" fontId="0" fillId="0" borderId="4" xfId="0" applyBorder="1">
      <alignment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58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3" fillId="2" borderId="1" xfId="0" applyNumberFormat="1" applyFont="1" applyFill="1" applyBorder="1" applyAlignment="1" applyProtection="1">
      <alignment horizontal="right" vertical="center"/>
    </xf>
    <xf numFmtId="0" fontId="3" fillId="2" borderId="1" xfId="0" applyNumberFormat="1" applyFont="1" applyFill="1" applyBorder="1" applyAlignment="1" applyProtection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>
      <alignment vertical="center"/>
    </xf>
    <xf numFmtId="58" fontId="0" fillId="0" borderId="4" xfId="0" applyNumberFormat="1" applyBorder="1" applyAlignment="1">
      <alignment vertical="center"/>
    </xf>
    <xf numFmtId="0" fontId="4" fillId="0" borderId="1" xfId="0" applyFont="1" applyBorder="1">
      <alignment vertical="center"/>
    </xf>
    <xf numFmtId="58" fontId="0" fillId="0" borderId="3" xfId="0" applyNumberFormat="1" applyBorder="1" applyAlignment="1">
      <alignment vertical="center"/>
    </xf>
    <xf numFmtId="58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"/>
  <sheetViews>
    <sheetView tabSelected="1" workbookViewId="0">
      <selection activeCell="A1" sqref="A1:I1"/>
    </sheetView>
  </sheetViews>
  <sheetFormatPr defaultColWidth="8.89166666666667" defaultRowHeight="13.5"/>
  <cols>
    <col min="1" max="1" width="17.4416666666667" customWidth="1"/>
    <col min="2" max="2" width="24.225" customWidth="1"/>
    <col min="8" max="8" width="12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5">
        <v>46087</v>
      </c>
      <c r="B3" s="3" t="s">
        <v>10</v>
      </c>
      <c r="C3" s="3">
        <v>510</v>
      </c>
      <c r="D3" s="3">
        <v>50</v>
      </c>
      <c r="E3" s="3">
        <v>1285</v>
      </c>
      <c r="F3" s="25">
        <v>0.1</v>
      </c>
      <c r="G3" s="3">
        <f t="shared" ref="G3:G11" si="0">TRUNC(SUM(D3*E3*F3/1000),2)</f>
        <v>6.42</v>
      </c>
      <c r="H3" s="3">
        <f t="shared" ref="H3:H11" si="1">G3*C3</f>
        <v>3274.2</v>
      </c>
      <c r="I3" s="21">
        <v>731.2</v>
      </c>
    </row>
    <row r="4" spans="1:9">
      <c r="A4" s="26">
        <v>46091</v>
      </c>
      <c r="B4" s="3" t="s">
        <v>10</v>
      </c>
      <c r="C4" s="3">
        <v>408</v>
      </c>
      <c r="D4" s="3">
        <v>50</v>
      </c>
      <c r="E4" s="3">
        <v>1285</v>
      </c>
      <c r="F4" s="25">
        <v>0.1</v>
      </c>
      <c r="G4" s="3">
        <f t="shared" si="0"/>
        <v>6.42</v>
      </c>
      <c r="H4" s="3">
        <f t="shared" si="1"/>
        <v>2619.36</v>
      </c>
      <c r="I4" s="30">
        <v>578.4</v>
      </c>
    </row>
    <row r="5" spans="1:9">
      <c r="A5" s="5">
        <v>46095</v>
      </c>
      <c r="B5" s="27" t="s">
        <v>10</v>
      </c>
      <c r="C5" s="3">
        <v>408</v>
      </c>
      <c r="D5" s="3">
        <v>50</v>
      </c>
      <c r="E5" s="3">
        <v>1285</v>
      </c>
      <c r="F5" s="25">
        <v>0.1</v>
      </c>
      <c r="G5" s="3">
        <f t="shared" si="0"/>
        <v>6.42</v>
      </c>
      <c r="H5" s="3">
        <f t="shared" si="1"/>
        <v>2619.36</v>
      </c>
      <c r="I5" s="21">
        <v>582.4</v>
      </c>
    </row>
    <row r="6" spans="1:9">
      <c r="A6" s="28"/>
      <c r="B6" s="25" t="s">
        <v>10</v>
      </c>
      <c r="C6" s="3">
        <v>408</v>
      </c>
      <c r="D6" s="3">
        <v>50</v>
      </c>
      <c r="E6" s="3">
        <v>1285</v>
      </c>
      <c r="F6" s="25">
        <v>0.1</v>
      </c>
      <c r="G6" s="3">
        <f t="shared" si="0"/>
        <v>6.42</v>
      </c>
      <c r="H6" s="3">
        <f t="shared" si="1"/>
        <v>2619.36</v>
      </c>
      <c r="I6" s="31">
        <v>537.2</v>
      </c>
    </row>
    <row r="7" spans="1:9">
      <c r="A7" s="5"/>
      <c r="B7" s="25" t="s">
        <v>10</v>
      </c>
      <c r="C7" s="3">
        <v>408</v>
      </c>
      <c r="D7" s="3">
        <v>50</v>
      </c>
      <c r="E7" s="3">
        <v>1285</v>
      </c>
      <c r="F7" s="25">
        <v>0.1</v>
      </c>
      <c r="G7" s="3">
        <f t="shared" si="0"/>
        <v>6.42</v>
      </c>
      <c r="H7" s="3">
        <f t="shared" si="1"/>
        <v>2619.36</v>
      </c>
      <c r="I7" s="21">
        <v>553.6</v>
      </c>
    </row>
    <row r="8" spans="1:9">
      <c r="A8" s="28"/>
      <c r="B8" s="25" t="s">
        <v>10</v>
      </c>
      <c r="C8" s="3">
        <v>450</v>
      </c>
      <c r="D8" s="3">
        <v>50</v>
      </c>
      <c r="E8" s="3">
        <v>1285</v>
      </c>
      <c r="F8" s="25">
        <v>0.1</v>
      </c>
      <c r="G8" s="3">
        <f t="shared" si="0"/>
        <v>6.42</v>
      </c>
      <c r="H8" s="3">
        <f t="shared" si="1"/>
        <v>2889</v>
      </c>
      <c r="I8" s="30">
        <v>713.6</v>
      </c>
    </row>
    <row r="9" spans="1:9">
      <c r="A9" s="28"/>
      <c r="B9" s="25" t="s">
        <v>10</v>
      </c>
      <c r="C9" s="3">
        <v>408</v>
      </c>
      <c r="D9" s="3">
        <v>50</v>
      </c>
      <c r="E9" s="3">
        <v>1285</v>
      </c>
      <c r="F9" s="25">
        <v>0.1</v>
      </c>
      <c r="G9" s="3">
        <f t="shared" si="0"/>
        <v>6.42</v>
      </c>
      <c r="H9" s="3">
        <f t="shared" si="1"/>
        <v>2619.36</v>
      </c>
      <c r="I9" s="21">
        <v>579.6</v>
      </c>
    </row>
    <row r="10" spans="1:9">
      <c r="A10" s="29"/>
      <c r="B10" s="13" t="s">
        <v>11</v>
      </c>
      <c r="C10" s="13">
        <f>SUM(C3:C9)</f>
        <v>3000</v>
      </c>
      <c r="D10" s="13"/>
      <c r="E10" s="3"/>
      <c r="F10" s="3"/>
      <c r="G10" s="3"/>
      <c r="H10" s="3">
        <f>SUM(H3:H9)</f>
        <v>19260</v>
      </c>
      <c r="I10" s="22">
        <f>SUM(I3:I9)</f>
        <v>4276</v>
      </c>
    </row>
    <row r="11" spans="1:9">
      <c r="A11" s="12"/>
      <c r="B11" s="13"/>
      <c r="C11" s="13"/>
      <c r="D11" s="13"/>
      <c r="I11" s="24"/>
    </row>
    <row r="12" ht="14.25" spans="1:4">
      <c r="A12" s="14" t="s">
        <v>12</v>
      </c>
      <c r="B12" s="14"/>
      <c r="C12" s="14"/>
      <c r="D12" s="14"/>
    </row>
    <row r="13" ht="14.25" spans="1:4">
      <c r="A13" s="15" t="s">
        <v>1</v>
      </c>
      <c r="B13" s="15" t="s">
        <v>13</v>
      </c>
      <c r="C13" s="15" t="s">
        <v>14</v>
      </c>
      <c r="D13" s="15" t="s">
        <v>15</v>
      </c>
    </row>
    <row r="14" ht="14.25" spans="1:4">
      <c r="A14" s="15"/>
      <c r="B14" s="15">
        <v>0</v>
      </c>
      <c r="C14" s="15">
        <v>0</v>
      </c>
      <c r="D14" s="15">
        <v>0</v>
      </c>
    </row>
    <row r="15" spans="1:13">
      <c r="A15" s="16"/>
      <c r="B15" s="3">
        <v>0</v>
      </c>
      <c r="C15" s="3">
        <v>0</v>
      </c>
      <c r="D15" s="3">
        <v>0</v>
      </c>
      <c r="M15" s="23"/>
    </row>
    <row r="16" spans="1:4">
      <c r="A16" s="16"/>
      <c r="B16" s="3">
        <v>0</v>
      </c>
      <c r="C16" s="3">
        <v>0</v>
      </c>
      <c r="D16" s="3">
        <v>0</v>
      </c>
    </row>
    <row r="17" spans="1:4">
      <c r="A17" s="16"/>
      <c r="B17" s="3">
        <v>0</v>
      </c>
      <c r="C17" s="3">
        <v>0</v>
      </c>
      <c r="D17" s="3">
        <v>0</v>
      </c>
    </row>
    <row r="18" spans="1:4">
      <c r="A18" s="16"/>
      <c r="B18" s="3">
        <v>0</v>
      </c>
      <c r="C18" s="3"/>
      <c r="D18" s="3">
        <f>C18*40</f>
        <v>0</v>
      </c>
    </row>
    <row r="19" spans="1:4">
      <c r="A19" s="16"/>
      <c r="B19" s="3">
        <v>0</v>
      </c>
      <c r="C19" s="3">
        <v>0</v>
      </c>
      <c r="D19" s="3">
        <v>0</v>
      </c>
    </row>
    <row r="20" spans="1:4">
      <c r="A20" s="16"/>
      <c r="B20" s="3">
        <v>0</v>
      </c>
      <c r="C20" s="3">
        <v>0</v>
      </c>
      <c r="D20" s="3">
        <v>0</v>
      </c>
    </row>
    <row r="21" spans="1:4">
      <c r="A21" s="16"/>
      <c r="B21" s="3">
        <v>0</v>
      </c>
      <c r="C21" s="3">
        <v>0</v>
      </c>
      <c r="D21" s="3">
        <v>0</v>
      </c>
    </row>
    <row r="22" spans="1:4">
      <c r="A22" s="16"/>
      <c r="B22" s="3">
        <v>0</v>
      </c>
      <c r="C22" s="3">
        <v>0</v>
      </c>
      <c r="D22" s="3">
        <f>C22*40</f>
        <v>0</v>
      </c>
    </row>
    <row r="23" spans="1:4">
      <c r="A23" s="16"/>
      <c r="B23" s="3">
        <v>0</v>
      </c>
      <c r="C23" s="3">
        <v>0</v>
      </c>
      <c r="D23" s="3">
        <v>0</v>
      </c>
    </row>
    <row r="24" spans="1:4">
      <c r="A24" s="16"/>
      <c r="B24" s="3">
        <v>0</v>
      </c>
      <c r="C24" s="3">
        <v>0</v>
      </c>
      <c r="D24" s="3">
        <v>0</v>
      </c>
    </row>
    <row r="25" spans="1:4">
      <c r="A25" s="16"/>
      <c r="B25" s="3">
        <v>0</v>
      </c>
      <c r="C25" s="3">
        <v>0</v>
      </c>
      <c r="D25" s="3">
        <v>0</v>
      </c>
    </row>
    <row r="26" spans="1:4">
      <c r="A26" s="17" t="s">
        <v>11</v>
      </c>
      <c r="B26" s="17"/>
      <c r="C26" s="3">
        <f>SUM(C18:C24)</f>
        <v>0</v>
      </c>
      <c r="D26" s="3">
        <f>SUM(D14:D25)</f>
        <v>0</v>
      </c>
    </row>
    <row r="28" spans="1:2">
      <c r="A28" s="17" t="s">
        <v>16</v>
      </c>
      <c r="B28" s="17"/>
    </row>
    <row r="29" spans="1:2">
      <c r="A29" s="3" t="s">
        <v>17</v>
      </c>
      <c r="B29" s="3">
        <f>I10*1.025</f>
        <v>4382.9</v>
      </c>
    </row>
    <row r="30" spans="1:2">
      <c r="A30" s="3"/>
      <c r="B30" s="3">
        <v>0</v>
      </c>
    </row>
    <row r="31" spans="1:2">
      <c r="A31" s="3"/>
      <c r="B31" s="3">
        <v>0</v>
      </c>
    </row>
    <row r="32" spans="1:2">
      <c r="A32" s="3" t="s">
        <v>11</v>
      </c>
      <c r="B32" s="3">
        <f>SUM(B29:B31)</f>
        <v>4382.9</v>
      </c>
    </row>
    <row r="34" spans="1:2">
      <c r="A34" s="3" t="s">
        <v>18</v>
      </c>
      <c r="B34" s="3">
        <v>0</v>
      </c>
    </row>
    <row r="35" spans="1:2">
      <c r="A35" s="3" t="s">
        <v>19</v>
      </c>
      <c r="B35" s="3">
        <v>0</v>
      </c>
    </row>
    <row r="36" spans="1:2">
      <c r="A36" s="3"/>
      <c r="B36" s="3">
        <v>0</v>
      </c>
    </row>
    <row r="37" spans="1:2">
      <c r="A37" s="16"/>
      <c r="B37" s="3">
        <v>0</v>
      </c>
    </row>
    <row r="38" spans="1:2">
      <c r="A38" s="3" t="s">
        <v>11</v>
      </c>
      <c r="B38" s="3">
        <f>SUM(B34:B37)</f>
        <v>0</v>
      </c>
    </row>
    <row r="40" ht="20.25" spans="1:9">
      <c r="A40" s="18" t="s">
        <v>20</v>
      </c>
      <c r="B40" s="18"/>
      <c r="C40" s="18"/>
      <c r="D40" s="18"/>
      <c r="E40" s="18"/>
      <c r="F40" s="18"/>
      <c r="G40" s="18"/>
      <c r="H40" s="19">
        <f>B38</f>
        <v>0</v>
      </c>
      <c r="I40" s="19" t="s">
        <v>21</v>
      </c>
    </row>
    <row r="41" ht="20.25" spans="1:9">
      <c r="A41" s="18" t="s">
        <v>22</v>
      </c>
      <c r="B41" s="18"/>
      <c r="C41" s="18"/>
      <c r="D41" s="18"/>
      <c r="E41" s="18"/>
      <c r="F41" s="18"/>
      <c r="G41" s="18"/>
      <c r="H41" s="19">
        <v>0</v>
      </c>
      <c r="I41" s="19" t="s">
        <v>23</v>
      </c>
    </row>
  </sheetData>
  <mergeCells count="6">
    <mergeCell ref="A1:I1"/>
    <mergeCell ref="A12:D12"/>
    <mergeCell ref="A26:B26"/>
    <mergeCell ref="A28:B28"/>
    <mergeCell ref="A40:G40"/>
    <mergeCell ref="A41:G4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workbookViewId="0">
      <selection activeCell="A1" sqref="A1:I35"/>
    </sheetView>
  </sheetViews>
  <sheetFormatPr defaultColWidth="8.73333333333333" defaultRowHeight="13.5"/>
  <cols>
    <col min="1" max="1" width="13.0916666666667" customWidth="1"/>
    <col min="2" max="2" width="21.6416666666667" customWidth="1"/>
  </cols>
  <sheetData>
    <row r="1" spans="1:9">
      <c r="A1" s="1" t="s">
        <v>24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2" t="s">
        <v>25</v>
      </c>
      <c r="B3" s="3" t="s">
        <v>26</v>
      </c>
      <c r="C3" s="3">
        <v>432</v>
      </c>
      <c r="D3" s="3">
        <v>50</v>
      </c>
      <c r="E3" s="3">
        <v>4750</v>
      </c>
      <c r="F3" s="3">
        <v>0.02</v>
      </c>
      <c r="G3" s="3">
        <f t="shared" ref="G3:G8" si="0">TRUNC(SUM(D3*E3*F3/1000),2)</f>
        <v>4.75</v>
      </c>
      <c r="H3" s="3">
        <f t="shared" ref="H3:H8" si="1">G3*C3</f>
        <v>2052</v>
      </c>
      <c r="I3" s="20">
        <v>442.8</v>
      </c>
    </row>
    <row r="4" spans="1:9">
      <c r="A4" s="4" t="s">
        <v>27</v>
      </c>
      <c r="B4" s="3" t="s">
        <v>28</v>
      </c>
      <c r="C4" s="3">
        <v>56</v>
      </c>
      <c r="D4" s="3">
        <v>100</v>
      </c>
      <c r="E4" s="3">
        <v>4200</v>
      </c>
      <c r="F4" s="3">
        <v>0.02</v>
      </c>
      <c r="G4" s="3">
        <f t="shared" si="0"/>
        <v>8.4</v>
      </c>
      <c r="H4" s="3">
        <f t="shared" si="1"/>
        <v>470.4</v>
      </c>
      <c r="I4" s="20">
        <v>113.4</v>
      </c>
    </row>
    <row r="5" spans="1:9">
      <c r="A5" s="4" t="s">
        <v>29</v>
      </c>
      <c r="B5" s="3" t="s">
        <v>28</v>
      </c>
      <c r="C5" s="3">
        <v>56</v>
      </c>
      <c r="D5" s="3">
        <v>100</v>
      </c>
      <c r="E5" s="3">
        <v>4200</v>
      </c>
      <c r="F5" s="3">
        <v>0.02</v>
      </c>
      <c r="G5" s="3">
        <f t="shared" si="0"/>
        <v>8.4</v>
      </c>
      <c r="H5" s="3">
        <f t="shared" si="1"/>
        <v>470.4</v>
      </c>
      <c r="I5" s="21">
        <v>115.6</v>
      </c>
    </row>
    <row r="6" spans="1:9">
      <c r="A6" s="4" t="s">
        <v>30</v>
      </c>
      <c r="B6" s="3" t="s">
        <v>28</v>
      </c>
      <c r="C6" s="3">
        <v>168</v>
      </c>
      <c r="D6" s="3">
        <v>100</v>
      </c>
      <c r="E6" s="3">
        <v>4200</v>
      </c>
      <c r="F6" s="3">
        <v>0.02</v>
      </c>
      <c r="G6" s="3">
        <f t="shared" si="0"/>
        <v>8.4</v>
      </c>
      <c r="H6" s="3">
        <f t="shared" si="1"/>
        <v>1411.2</v>
      </c>
      <c r="I6" s="22">
        <v>374.2</v>
      </c>
    </row>
    <row r="7" spans="1:9">
      <c r="A7" s="5" t="s">
        <v>31</v>
      </c>
      <c r="B7" s="3" t="s">
        <v>26</v>
      </c>
      <c r="C7" s="3">
        <v>512</v>
      </c>
      <c r="D7" s="3">
        <v>50</v>
      </c>
      <c r="E7" s="3">
        <v>4750</v>
      </c>
      <c r="F7" s="3"/>
      <c r="G7" s="3">
        <f t="shared" si="0"/>
        <v>0</v>
      </c>
      <c r="H7" s="3">
        <f t="shared" si="1"/>
        <v>0</v>
      </c>
      <c r="I7" s="20">
        <v>469.2</v>
      </c>
    </row>
    <row r="8" spans="1:9">
      <c r="A8" s="5" t="s">
        <v>32</v>
      </c>
      <c r="B8" s="3" t="s">
        <v>26</v>
      </c>
      <c r="C8" s="3">
        <v>480</v>
      </c>
      <c r="D8" s="3">
        <v>50</v>
      </c>
      <c r="E8" s="3">
        <v>4750</v>
      </c>
      <c r="F8" s="3"/>
      <c r="G8" s="3">
        <f t="shared" si="0"/>
        <v>0</v>
      </c>
      <c r="H8" s="3">
        <f t="shared" si="1"/>
        <v>0</v>
      </c>
      <c r="I8" s="20">
        <v>468.4</v>
      </c>
    </row>
    <row r="9" spans="1:9">
      <c r="A9" s="6"/>
      <c r="B9" s="3"/>
      <c r="C9" s="3"/>
      <c r="D9" s="3"/>
      <c r="E9" s="3"/>
      <c r="F9" s="3"/>
      <c r="G9" s="3"/>
      <c r="H9" s="3"/>
      <c r="I9" s="20"/>
    </row>
    <row r="10" spans="1:9">
      <c r="A10" s="7"/>
      <c r="B10" s="3"/>
      <c r="C10" s="3"/>
      <c r="D10" s="3"/>
      <c r="E10" s="3"/>
      <c r="F10" s="3"/>
      <c r="G10" s="3"/>
      <c r="H10" s="3"/>
      <c r="I10" s="20"/>
    </row>
    <row r="11" spans="1:9">
      <c r="A11" s="8" t="s">
        <v>33</v>
      </c>
      <c r="B11" s="8"/>
      <c r="C11" s="8"/>
      <c r="D11" s="8"/>
      <c r="E11" s="8"/>
      <c r="F11" s="8"/>
      <c r="G11" s="8"/>
      <c r="H11" s="8"/>
      <c r="I11" s="8"/>
    </row>
    <row r="12" spans="1:9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</row>
    <row r="13" spans="1:10">
      <c r="A13" s="9" t="s">
        <v>34</v>
      </c>
      <c r="B13" s="3" t="s">
        <v>35</v>
      </c>
      <c r="C13" s="10">
        <v>2</v>
      </c>
      <c r="D13" s="10">
        <v>134</v>
      </c>
      <c r="E13" s="10">
        <v>5000</v>
      </c>
      <c r="F13" s="10">
        <v>0.02</v>
      </c>
      <c r="G13" s="10">
        <f>TRUNC(SUM(D13*E13*F13/1000),2)</f>
        <v>13.4</v>
      </c>
      <c r="H13" s="10">
        <f>G13*C13</f>
        <v>26.8</v>
      </c>
      <c r="I13" s="20">
        <v>2.8</v>
      </c>
      <c r="J13" s="23" t="s">
        <v>36</v>
      </c>
    </row>
    <row r="14" spans="1:9">
      <c r="A14" s="11"/>
      <c r="B14" s="3" t="s">
        <v>37</v>
      </c>
      <c r="C14" s="3">
        <v>1</v>
      </c>
      <c r="D14" s="3">
        <v>160</v>
      </c>
      <c r="E14" s="3"/>
      <c r="F14" s="3"/>
      <c r="G14" s="3"/>
      <c r="H14" s="3"/>
      <c r="I14" s="17">
        <v>1.5</v>
      </c>
    </row>
    <row r="15" spans="1:9">
      <c r="A15" s="12"/>
      <c r="B15" s="13"/>
      <c r="C15" s="13"/>
      <c r="D15" s="13"/>
      <c r="I15" s="24"/>
    </row>
    <row r="16" ht="14.25" spans="1:4">
      <c r="A16" s="14" t="s">
        <v>12</v>
      </c>
      <c r="B16" s="14"/>
      <c r="C16" s="14"/>
      <c r="D16" s="14"/>
    </row>
    <row r="17" ht="14.25" spans="1:4">
      <c r="A17" s="15" t="s">
        <v>1</v>
      </c>
      <c r="B17" s="15" t="s">
        <v>13</v>
      </c>
      <c r="C17" s="15" t="s">
        <v>38</v>
      </c>
      <c r="D17" s="15" t="s">
        <v>15</v>
      </c>
    </row>
    <row r="18" spans="1:4">
      <c r="A18" s="16"/>
      <c r="B18" s="3"/>
      <c r="C18" s="3"/>
      <c r="D18" s="3"/>
    </row>
    <row r="19" spans="1:4">
      <c r="A19" s="16"/>
      <c r="B19" s="3"/>
      <c r="C19" s="3"/>
      <c r="D19" s="3"/>
    </row>
    <row r="20" spans="1:4">
      <c r="A20" s="16"/>
      <c r="B20" s="3"/>
      <c r="C20" s="3"/>
      <c r="D20" s="3"/>
    </row>
    <row r="21" spans="1:4">
      <c r="A21" s="17" t="s">
        <v>11</v>
      </c>
      <c r="B21" s="17"/>
      <c r="C21" s="3">
        <v>21</v>
      </c>
      <c r="D21" s="3">
        <f>SUM(D18:D20)</f>
        <v>0</v>
      </c>
    </row>
    <row r="23" spans="1:2">
      <c r="A23" s="17" t="s">
        <v>16</v>
      </c>
      <c r="B23" s="17"/>
    </row>
    <row r="24" spans="1:2">
      <c r="A24" s="3" t="s">
        <v>17</v>
      </c>
      <c r="B24" s="3">
        <f>I13*1.025</f>
        <v>2.87</v>
      </c>
    </row>
    <row r="25" spans="1:2">
      <c r="A25" s="3" t="s">
        <v>39</v>
      </c>
      <c r="B25" s="3">
        <v>-3539.6</v>
      </c>
    </row>
    <row r="26" spans="1:2">
      <c r="A26" s="3" t="s">
        <v>40</v>
      </c>
      <c r="B26" s="3">
        <v>-585.6</v>
      </c>
    </row>
    <row r="27" spans="1:2">
      <c r="A27" s="3" t="s">
        <v>11</v>
      </c>
      <c r="B27" s="3">
        <f>SUM(B24:B26)</f>
        <v>-4122.33</v>
      </c>
    </row>
    <row r="29" spans="1:2">
      <c r="A29" s="3" t="s">
        <v>18</v>
      </c>
      <c r="B29" s="3">
        <v>68537</v>
      </c>
    </row>
    <row r="30" spans="1:2">
      <c r="A30" s="3" t="s">
        <v>19</v>
      </c>
      <c r="B30" s="3">
        <v>13837</v>
      </c>
    </row>
    <row r="31" spans="1:2">
      <c r="A31" s="16" t="s">
        <v>41</v>
      </c>
      <c r="B31" s="3">
        <v>0</v>
      </c>
    </row>
    <row r="32" spans="1:2">
      <c r="A32" s="3" t="s">
        <v>11</v>
      </c>
      <c r="B32" s="3">
        <f>SUM(B29:B31)</f>
        <v>82374</v>
      </c>
    </row>
    <row r="34" ht="20.25" spans="1:9">
      <c r="A34" s="18" t="s">
        <v>20</v>
      </c>
      <c r="B34" s="18"/>
      <c r="C34" s="18"/>
      <c r="D34" s="18"/>
      <c r="E34" s="18"/>
      <c r="F34" s="18"/>
      <c r="G34" s="18"/>
      <c r="H34" s="19">
        <f>B32</f>
        <v>82374</v>
      </c>
      <c r="I34" s="19" t="s">
        <v>21</v>
      </c>
    </row>
    <row r="35" ht="20.25" spans="1:9">
      <c r="A35" s="18" t="s">
        <v>22</v>
      </c>
      <c r="B35" s="18"/>
      <c r="C35" s="18"/>
      <c r="D35" s="18"/>
      <c r="E35" s="18"/>
      <c r="F35" s="18"/>
      <c r="G35" s="18"/>
      <c r="H35" s="19">
        <v>687.4</v>
      </c>
      <c r="I35" s="19" t="s">
        <v>23</v>
      </c>
    </row>
  </sheetData>
  <mergeCells count="9">
    <mergeCell ref="A1:I1"/>
    <mergeCell ref="A11:I11"/>
    <mergeCell ref="A16:D16"/>
    <mergeCell ref="A21:B21"/>
    <mergeCell ref="A23:B23"/>
    <mergeCell ref="A34:G34"/>
    <mergeCell ref="A35:G35"/>
    <mergeCell ref="A9:A10"/>
    <mergeCell ref="A13:A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86248</dc:creator>
  <cp:lastModifiedBy>Administrator</cp:lastModifiedBy>
  <dcterms:created xsi:type="dcterms:W3CDTF">2023-08-08T02:42:00Z</dcterms:created>
  <dcterms:modified xsi:type="dcterms:W3CDTF">2026-03-19T14:44:16Z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B1601308ACA045E598BD95496F4D9A36</vt:lpwstr>
  </property>
  <property fmtid="{D5CDD505-2E9C-101B-9397-08002B2CF9AE}" pid="3" name="KSOProductBuildVer">
    <vt:lpwstr>2052-11.1.0.11194</vt:lpwstr>
  </property>
  <property fmtid="{D5CDD505-2E9C-101B-9397-08002B2CF9AE}" pid="4" name="CalculationRule">
    <vt:i4>0</vt:i4>
  </property>
</Properties>
</file>