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<sst xmlns="http://schemas.openxmlformats.org/spreadsheetml/2006/main" count="38" uniqueCount="27">
  <si>
    <t>高章玉2026.1-2月份</t>
  </si>
  <si>
    <t>日期</t>
  </si>
  <si>
    <t>规格</t>
  </si>
  <si>
    <t>条数</t>
  </si>
  <si>
    <t>目数</t>
  </si>
  <si>
    <t>边数</t>
  </si>
  <si>
    <t>加工费</t>
  </si>
  <si>
    <t>价格/条</t>
  </si>
  <si>
    <t>金额/元</t>
  </si>
  <si>
    <t>重量/斤</t>
  </si>
  <si>
    <t>2股*7.62*100*1680</t>
  </si>
  <si>
    <t>2股*8.89*100*1440</t>
  </si>
  <si>
    <t>合计</t>
  </si>
  <si>
    <t>送丝</t>
  </si>
  <si>
    <t>丝径</t>
  </si>
  <si>
    <t>件数</t>
  </si>
  <si>
    <t>重量</t>
  </si>
  <si>
    <t>总结(负号为欠本公司）</t>
  </si>
  <si>
    <t>送网重</t>
  </si>
  <si>
    <t>送丝重</t>
  </si>
  <si>
    <t>上月欠丝</t>
  </si>
  <si>
    <t>上欠加工费</t>
  </si>
  <si>
    <t>本月加工费</t>
  </si>
  <si>
    <t>下欠加工费</t>
  </si>
  <si>
    <t>元</t>
  </si>
  <si>
    <t>下欠公司丝</t>
  </si>
  <si>
    <t>斤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</si>
</sst>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b/>
      <sz val="16"/>
      <color indexed="10"/>
      <name val="宋体"/>
      <charset val="134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8" fillId="0" borderId="5" applyNumberFormat="0" applyFill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9" fillId="23" borderId="10" applyNumberFormat="0" applyAlignment="0" applyProtection="0">
      <alignment vertical="center"/>
    </xf>
    <xf numFmtId="0" fontId="20" fillId="23" borderId="4" applyNumberFormat="0" applyAlignment="0" applyProtection="0">
      <alignment vertical="center"/>
    </xf>
    <xf numFmtId="0" fontId="21" fillId="29" borderId="11" applyNumberFormat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58" fontId="0" fillId="0" borderId="1" xfId="0" applyNumberFormat="1" applyBorder="1">
      <alignment vertical="center"/>
    </xf>
    <xf numFmtId="0" fontId="0" fillId="0" borderId="2" xfId="0" applyBorder="1">
      <alignment vertical="center"/>
    </xf>
    <xf numFmtId="58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2" fillId="2" borderId="1" xfId="0" applyNumberFormat="1" applyFont="1" applyFill="1" applyBorder="1" applyAlignment="1" applyProtection="1">
      <alignment horizontal="right" vertical="center"/>
    </xf>
    <xf numFmtId="0" fontId="2" fillId="2" borderId="1" xfId="0" applyNumberFormat="1" applyFont="1" applyFill="1" applyBorder="1" applyAlignment="1" applyProtection="1">
      <alignment vertical="center"/>
    </xf>
    <xf numFmtId="0" fontId="0" fillId="0" borderId="1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2"/>
  <sheetViews>
    <sheetView tabSelected="1" workbookViewId="0">
      <selection activeCell="G17" sqref="G17"/>
    </sheetView>
  </sheetViews>
  <sheetFormatPr defaultColWidth="9" defaultRowHeight="13.5"/>
  <cols>
    <col min="1" max="1" width="18.2666666666667" customWidth="1"/>
    <col min="2" max="2" width="19.25" customWidth="1"/>
    <col min="8" max="8" width="11.2666666666667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3">
        <v>46026</v>
      </c>
      <c r="B3" s="4" t="s">
        <v>10</v>
      </c>
      <c r="C3" s="4">
        <v>693</v>
      </c>
      <c r="D3" s="4">
        <v>100</v>
      </c>
      <c r="E3" s="2">
        <v>840</v>
      </c>
      <c r="F3" s="2">
        <v>0.052</v>
      </c>
      <c r="G3" s="2">
        <f t="shared" ref="G3:G11" si="0">TRUNC(SUM(D3*E3*F3/1000),2)</f>
        <v>4.36</v>
      </c>
      <c r="H3" s="2">
        <f t="shared" ref="H3:H11" si="1">G3*C3</f>
        <v>3021.48</v>
      </c>
      <c r="I3" s="11">
        <v>936</v>
      </c>
    </row>
    <row r="4" spans="1:9">
      <c r="A4" s="3">
        <v>46031</v>
      </c>
      <c r="B4" s="4" t="s">
        <v>10</v>
      </c>
      <c r="C4" s="4">
        <v>297</v>
      </c>
      <c r="D4" s="4">
        <v>100</v>
      </c>
      <c r="E4" s="2">
        <v>840</v>
      </c>
      <c r="F4" s="2">
        <v>0.052</v>
      </c>
      <c r="G4" s="2">
        <f t="shared" si="0"/>
        <v>4.36</v>
      </c>
      <c r="H4" s="2">
        <f t="shared" si="1"/>
        <v>1294.92</v>
      </c>
      <c r="I4" s="12">
        <v>912</v>
      </c>
    </row>
    <row r="5" spans="1:9">
      <c r="A5" s="3"/>
      <c r="B5" s="4" t="s">
        <v>11</v>
      </c>
      <c r="C5" s="4">
        <v>396</v>
      </c>
      <c r="D5" s="4">
        <v>100</v>
      </c>
      <c r="E5" s="2">
        <v>720</v>
      </c>
      <c r="F5" s="2">
        <v>0.058</v>
      </c>
      <c r="G5" s="2">
        <f t="shared" si="0"/>
        <v>4.17</v>
      </c>
      <c r="H5" s="2">
        <f t="shared" si="1"/>
        <v>1651.32</v>
      </c>
      <c r="I5" s="6"/>
    </row>
    <row r="6" spans="1:9">
      <c r="A6" s="3">
        <v>46036</v>
      </c>
      <c r="B6" s="4" t="s">
        <v>11</v>
      </c>
      <c r="C6" s="4">
        <v>693</v>
      </c>
      <c r="D6" s="4">
        <v>100</v>
      </c>
      <c r="E6" s="2">
        <v>720</v>
      </c>
      <c r="F6" s="2">
        <v>0.058</v>
      </c>
      <c r="G6" s="2">
        <f t="shared" si="0"/>
        <v>4.17</v>
      </c>
      <c r="H6" s="2">
        <f t="shared" si="1"/>
        <v>2889.81</v>
      </c>
      <c r="I6" s="2">
        <v>894.6</v>
      </c>
    </row>
    <row r="7" spans="1:9">
      <c r="A7" s="3">
        <v>46040</v>
      </c>
      <c r="B7" s="4" t="s">
        <v>11</v>
      </c>
      <c r="C7" s="4">
        <v>693</v>
      </c>
      <c r="D7" s="4">
        <v>100</v>
      </c>
      <c r="E7" s="2">
        <v>720</v>
      </c>
      <c r="F7" s="2">
        <v>0.058</v>
      </c>
      <c r="G7" s="2">
        <f t="shared" si="0"/>
        <v>4.17</v>
      </c>
      <c r="H7" s="2">
        <f t="shared" si="1"/>
        <v>2889.81</v>
      </c>
      <c r="I7" s="2">
        <v>897.4</v>
      </c>
    </row>
    <row r="8" spans="1:9">
      <c r="A8" s="3">
        <v>46046</v>
      </c>
      <c r="B8" s="4" t="s">
        <v>11</v>
      </c>
      <c r="C8" s="4">
        <v>693</v>
      </c>
      <c r="D8" s="4">
        <v>100</v>
      </c>
      <c r="E8" s="2">
        <v>720</v>
      </c>
      <c r="F8" s="2">
        <v>0.058</v>
      </c>
      <c r="G8" s="2">
        <f t="shared" si="0"/>
        <v>4.17</v>
      </c>
      <c r="H8" s="2">
        <f t="shared" si="1"/>
        <v>2889.81</v>
      </c>
      <c r="I8" s="11">
        <v>894.4</v>
      </c>
    </row>
    <row r="9" spans="1:9">
      <c r="A9" s="3">
        <v>46050</v>
      </c>
      <c r="B9" s="4" t="s">
        <v>11</v>
      </c>
      <c r="C9" s="4">
        <v>693</v>
      </c>
      <c r="D9" s="4">
        <v>100</v>
      </c>
      <c r="E9" s="2">
        <v>720</v>
      </c>
      <c r="F9" s="2">
        <v>0.058</v>
      </c>
      <c r="G9" s="2">
        <f t="shared" si="0"/>
        <v>4.17</v>
      </c>
      <c r="H9" s="2">
        <f t="shared" si="1"/>
        <v>2889.81</v>
      </c>
      <c r="I9" s="13">
        <v>894</v>
      </c>
    </row>
    <row r="10" spans="1:9">
      <c r="A10" s="5">
        <v>46054</v>
      </c>
      <c r="B10" s="4" t="s">
        <v>11</v>
      </c>
      <c r="C10" s="4">
        <v>693</v>
      </c>
      <c r="D10" s="4">
        <v>100</v>
      </c>
      <c r="E10" s="2">
        <v>720</v>
      </c>
      <c r="F10" s="2">
        <v>0.058</v>
      </c>
      <c r="G10" s="2">
        <f t="shared" si="0"/>
        <v>4.17</v>
      </c>
      <c r="H10" s="2">
        <f t="shared" si="1"/>
        <v>2889.81</v>
      </c>
      <c r="I10" s="11">
        <v>894.6</v>
      </c>
    </row>
    <row r="11" spans="1:9">
      <c r="A11" s="5">
        <v>46058</v>
      </c>
      <c r="B11" s="4" t="s">
        <v>11</v>
      </c>
      <c r="C11" s="4">
        <v>693</v>
      </c>
      <c r="D11" s="4">
        <v>100</v>
      </c>
      <c r="E11" s="2">
        <v>720</v>
      </c>
      <c r="F11" s="2">
        <v>0.058</v>
      </c>
      <c r="G11" s="2">
        <f t="shared" si="0"/>
        <v>4.17</v>
      </c>
      <c r="H11" s="2">
        <f t="shared" si="1"/>
        <v>2889.81</v>
      </c>
      <c r="I11" s="11">
        <v>895.2</v>
      </c>
    </row>
    <row r="12" spans="1:9">
      <c r="A12" s="6"/>
      <c r="B12" s="4" t="s">
        <v>12</v>
      </c>
      <c r="C12" s="4">
        <f>SUM(C3:C11)</f>
        <v>5544</v>
      </c>
      <c r="D12" s="4"/>
      <c r="E12" s="2"/>
      <c r="F12" s="2"/>
      <c r="G12" s="2"/>
      <c r="H12" s="2">
        <f>SUM(H3:H11)</f>
        <v>23306.58</v>
      </c>
      <c r="I12" s="1">
        <f>SUM(I3:I11)</f>
        <v>7218.2</v>
      </c>
    </row>
    <row r="13" ht="14.25" spans="1:4">
      <c r="A13" s="7" t="s">
        <v>13</v>
      </c>
      <c r="B13" s="7"/>
      <c r="C13" s="7"/>
      <c r="D13" s="7"/>
    </row>
    <row r="14" ht="14.25" spans="1:4">
      <c r="A14" s="8" t="s">
        <v>1</v>
      </c>
      <c r="B14" s="8" t="s">
        <v>14</v>
      </c>
      <c r="C14" s="8" t="s">
        <v>15</v>
      </c>
      <c r="D14" s="8" t="s">
        <v>16</v>
      </c>
    </row>
    <row r="15" spans="1:4">
      <c r="A15" s="3"/>
      <c r="B15" s="1">
        <v>0</v>
      </c>
      <c r="C15" s="2">
        <v>0</v>
      </c>
      <c r="D15" s="2">
        <v>0</v>
      </c>
    </row>
    <row r="16" spans="1:4">
      <c r="A16" s="3"/>
      <c r="B16" s="1">
        <v>0</v>
      </c>
      <c r="C16" s="2">
        <v>0</v>
      </c>
      <c r="D16" s="2">
        <v>0</v>
      </c>
    </row>
    <row r="17" spans="1:4">
      <c r="A17" s="1" t="s">
        <v>12</v>
      </c>
      <c r="B17" s="1"/>
      <c r="C17" s="2"/>
      <c r="D17" s="2">
        <f>SUM(D15:D16)</f>
        <v>0</v>
      </c>
    </row>
    <row r="19" spans="1:2">
      <c r="A19" s="1" t="s">
        <v>17</v>
      </c>
      <c r="B19" s="1"/>
    </row>
    <row r="20" spans="1:2">
      <c r="A20" s="2" t="s">
        <v>18</v>
      </c>
      <c r="B20" s="2">
        <f>I12</f>
        <v>7218.2</v>
      </c>
    </row>
    <row r="21" spans="1:2">
      <c r="A21" s="2" t="s">
        <v>19</v>
      </c>
      <c r="B21" s="2">
        <f>-D17</f>
        <v>0</v>
      </c>
    </row>
    <row r="22" spans="1:2">
      <c r="A22" s="2" t="s">
        <v>20</v>
      </c>
      <c r="B22" s="2">
        <v>0</v>
      </c>
    </row>
    <row r="23" spans="1:2">
      <c r="A23" s="2" t="s">
        <v>12</v>
      </c>
      <c r="B23" s="2">
        <v>0</v>
      </c>
    </row>
    <row r="25" spans="1:2">
      <c r="A25" s="2" t="s">
        <v>21</v>
      </c>
      <c r="B25" s="2">
        <v>0</v>
      </c>
    </row>
    <row r="26" spans="1:2">
      <c r="A26" s="2" t="s">
        <v>22</v>
      </c>
      <c r="B26" s="2">
        <v>0</v>
      </c>
    </row>
    <row r="27" spans="1:2">
      <c r="A27" s="3"/>
      <c r="B27" s="2">
        <v>0</v>
      </c>
    </row>
    <row r="28" spans="1:2">
      <c r="A28" s="3"/>
      <c r="B28" s="2">
        <v>0</v>
      </c>
    </row>
    <row r="29" spans="1:2">
      <c r="A29" s="2" t="s">
        <v>12</v>
      </c>
      <c r="B29" s="2">
        <f>SUM(B25:B28)</f>
        <v>0</v>
      </c>
    </row>
    <row r="31" ht="20.25" spans="1:9">
      <c r="A31" s="9" t="s">
        <v>23</v>
      </c>
      <c r="B31" s="9"/>
      <c r="C31" s="9"/>
      <c r="D31" s="9"/>
      <c r="E31" s="9"/>
      <c r="F31" s="9"/>
      <c r="G31" s="9"/>
      <c r="H31" s="10">
        <f>B29</f>
        <v>0</v>
      </c>
      <c r="I31" s="10" t="s">
        <v>24</v>
      </c>
    </row>
    <row r="32" ht="20.25" spans="1:9">
      <c r="A32" s="9" t="s">
        <v>25</v>
      </c>
      <c r="B32" s="9"/>
      <c r="C32" s="9"/>
      <c r="D32" s="9"/>
      <c r="E32" s="9"/>
      <c r="F32" s="9"/>
      <c r="G32" s="9"/>
      <c r="H32" s="10">
        <v>0</v>
      </c>
      <c r="I32" s="10" t="s">
        <v>26</v>
      </c>
    </row>
  </sheetData>
  <mergeCells count="7">
    <mergeCell ref="A1:I1"/>
    <mergeCell ref="A13:D13"/>
    <mergeCell ref="A17:B17"/>
    <mergeCell ref="A19:B19"/>
    <mergeCell ref="A31:G31"/>
    <mergeCell ref="A32:G32"/>
    <mergeCell ref="I4:I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2023-07-31T00:08:00Z</dcterms:created>
  <dcterms:modified xsi:type="dcterms:W3CDTF">2008-12-31T21:38:21Z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0A95D84DB20142CCB2653A934BB90CE7</vt:lpwstr>
  </property>
  <property fmtid="{D5CDD505-2E9C-101B-9397-08002B2CF9AE}" pid="3" name="KSOProductBuildVer">
    <vt:lpwstr>2052-11.1.0.11194</vt:lpwstr>
  </property>
  <property fmtid="{D5CDD505-2E9C-101B-9397-08002B2CF9AE}" pid="4" name="CalculationRule">
    <vt:i4>0</vt:i4>
  </property>
</Properties>
</file>