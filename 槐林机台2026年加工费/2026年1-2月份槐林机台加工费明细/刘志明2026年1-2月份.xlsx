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definedNames>
    <definedName name="_xlnm._FilterDatabase" localSheetId="0" hidden="1">Sheet1!$A$1:$I$36</definedName>
  </definedNames>
  <calcPr calcId="144525"/>
</workbook>
</file>

<file path=xl/sharedStrings.xml><?xml version="1.0" encoding="utf-8"?>
<sst xmlns="http://schemas.openxmlformats.org/spreadsheetml/2006/main" count="40" uniqueCount="28">
  <si>
    <t>刘志明2026年1-2月份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</si>
  <si>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</si>
  <si>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</si>
  <si>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</si>
  <si>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</si>
  <si>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</si>
  <si>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</si>
  <si>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</si>
  <si>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</si>
  <si>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</si>
  <si>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2股*3.6（1-1/4"）*100*4000</t>
  </si>
  <si>
    <t>2股*4.5（1-3/4"）*100*2820</t>
  </si>
  <si>
    <t>2股*3.81（1-1/2"）*100*3300</t>
  </si>
  <si>
    <t>2股*5.1（2"）*100*2450</t>
  </si>
  <si>
    <t>合计</t>
  </si>
  <si>
    <t>送丝</t>
  </si>
  <si>
    <t>丝径</t>
  </si>
  <si>
    <t>件数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</si>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</sst>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4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58" fontId="0" fillId="0" borderId="1" xfId="0" applyNumberFormat="1" applyBorder="1" applyAlignment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G25" sqref="G25"/>
    </sheetView>
  </sheetViews>
  <sheetFormatPr defaultColWidth="9" defaultRowHeight="13.5"/>
  <cols>
    <col min="1" max="1" width="10" customWidth="1"/>
    <col min="2" max="2" width="29.5" customWidth="1"/>
    <col min="3" max="3" width="7.75" customWidth="1"/>
    <col min="4" max="5" width="8.25" customWidth="1"/>
    <col min="6" max="6" width="8.375" customWidth="1"/>
    <col min="7" max="7" width="8" customWidth="1"/>
    <col min="8" max="8" width="11.12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39816</v>
      </c>
      <c r="B3" s="2" t="s">
        <v>10</v>
      </c>
      <c r="C3" s="2">
        <v>240</v>
      </c>
      <c r="D3" s="2">
        <v>100</v>
      </c>
      <c r="E3" s="2">
        <v>2000</v>
      </c>
      <c r="F3" s="2">
        <v>0.03</v>
      </c>
      <c r="G3" s="2">
        <f>TRUNC(SUM(D3*E3*F3/1000),2)</f>
        <v>6</v>
      </c>
      <c r="H3" s="2">
        <f>C3*G3</f>
        <v>1440</v>
      </c>
      <c r="I3" s="15">
        <v>357</v>
      </c>
    </row>
    <row r="4" spans="1:9">
      <c r="A4" s="4">
        <v>39820</v>
      </c>
      <c r="B4" s="2" t="s">
        <v>11</v>
      </c>
      <c r="C4" s="2">
        <v>288</v>
      </c>
      <c r="D4" s="2">
        <v>100</v>
      </c>
      <c r="E4" s="2">
        <v>1410</v>
      </c>
      <c r="F4" s="2">
        <v>0.033</v>
      </c>
      <c r="G4" s="2">
        <f t="shared" ref="G4:G11" si="0">TRUNC(SUM(D4*E4*F4/1000),2)</f>
        <v>4.65</v>
      </c>
      <c r="H4" s="2">
        <f t="shared" ref="H4:H10" si="1">G4*C4</f>
        <v>1339.2</v>
      </c>
      <c r="I4" s="15">
        <v>396.4</v>
      </c>
    </row>
    <row r="5" spans="1:9">
      <c r="A5" s="4">
        <v>39823</v>
      </c>
      <c r="B5" s="2" t="s">
        <v>10</v>
      </c>
      <c r="C5" s="2">
        <v>200</v>
      </c>
      <c r="D5" s="2">
        <v>100</v>
      </c>
      <c r="E5" s="2">
        <v>2000</v>
      </c>
      <c r="F5" s="2">
        <v>0.03</v>
      </c>
      <c r="G5" s="2">
        <f t="shared" si="0"/>
        <v>6</v>
      </c>
      <c r="H5" s="2">
        <f t="shared" si="1"/>
        <v>1200</v>
      </c>
      <c r="I5" s="15">
        <v>293.9</v>
      </c>
    </row>
    <row r="6" spans="1:9">
      <c r="A6" s="4">
        <v>39827</v>
      </c>
      <c r="B6" s="2" t="s">
        <v>11</v>
      </c>
      <c r="C6" s="2">
        <v>288</v>
      </c>
      <c r="D6" s="2">
        <v>100</v>
      </c>
      <c r="E6" s="2">
        <v>1410</v>
      </c>
      <c r="F6" s="2">
        <v>0.033</v>
      </c>
      <c r="G6" s="2">
        <f t="shared" si="0"/>
        <v>4.65</v>
      </c>
      <c r="H6" s="2">
        <f t="shared" si="1"/>
        <v>1339.2</v>
      </c>
      <c r="I6" s="15">
        <v>392</v>
      </c>
    </row>
    <row r="7" spans="1:9">
      <c r="A7" s="4">
        <v>39830</v>
      </c>
      <c r="B7" s="2" t="s">
        <v>10</v>
      </c>
      <c r="C7" s="2">
        <v>240</v>
      </c>
      <c r="D7" s="2">
        <v>100</v>
      </c>
      <c r="E7" s="2">
        <v>2000</v>
      </c>
      <c r="F7" s="2">
        <v>0.03</v>
      </c>
      <c r="G7" s="2">
        <f t="shared" si="0"/>
        <v>6</v>
      </c>
      <c r="H7" s="2">
        <f t="shared" si="1"/>
        <v>1440</v>
      </c>
      <c r="I7" s="15">
        <v>347.4</v>
      </c>
    </row>
    <row r="8" spans="1:9">
      <c r="A8" s="4">
        <v>39835</v>
      </c>
      <c r="B8" s="2" t="s">
        <v>11</v>
      </c>
      <c r="C8" s="2">
        <v>296</v>
      </c>
      <c r="D8" s="2">
        <v>100</v>
      </c>
      <c r="E8" s="2">
        <v>1410</v>
      </c>
      <c r="F8" s="2">
        <v>0.033</v>
      </c>
      <c r="G8" s="2">
        <f t="shared" si="0"/>
        <v>4.65</v>
      </c>
      <c r="H8" s="2">
        <f t="shared" si="1"/>
        <v>1376.4</v>
      </c>
      <c r="I8" s="15">
        <v>393.5</v>
      </c>
    </row>
    <row r="9" ht="15" customHeight="1" spans="1:9">
      <c r="A9" s="4">
        <v>39839</v>
      </c>
      <c r="B9" s="2" t="s">
        <v>10</v>
      </c>
      <c r="C9" s="2">
        <v>240</v>
      </c>
      <c r="D9" s="2">
        <v>100</v>
      </c>
      <c r="E9" s="2">
        <v>2000</v>
      </c>
      <c r="F9" s="2">
        <v>0.03</v>
      </c>
      <c r="G9" s="2">
        <f t="shared" si="0"/>
        <v>6</v>
      </c>
      <c r="H9" s="2">
        <f t="shared" si="1"/>
        <v>1440</v>
      </c>
      <c r="I9" s="15">
        <v>337.4</v>
      </c>
    </row>
    <row r="10" ht="15" customHeight="1" spans="1:9">
      <c r="A10" s="4">
        <v>39841</v>
      </c>
      <c r="B10" s="2" t="s">
        <v>11</v>
      </c>
      <c r="C10" s="2">
        <v>288</v>
      </c>
      <c r="D10" s="2">
        <v>100</v>
      </c>
      <c r="E10" s="2">
        <v>1410</v>
      </c>
      <c r="F10" s="2">
        <v>0.033</v>
      </c>
      <c r="G10" s="2">
        <f t="shared" si="0"/>
        <v>4.65</v>
      </c>
      <c r="H10" s="2">
        <f t="shared" si="1"/>
        <v>1339.2</v>
      </c>
      <c r="I10" s="15">
        <v>386</v>
      </c>
    </row>
    <row r="11" ht="15" customHeight="1" spans="1:9">
      <c r="A11" s="4">
        <v>39844</v>
      </c>
      <c r="B11" s="2" t="s">
        <v>12</v>
      </c>
      <c r="C11" s="2">
        <v>240</v>
      </c>
      <c r="D11" s="2">
        <v>100</v>
      </c>
      <c r="E11" s="2">
        <v>1650</v>
      </c>
      <c r="F11" s="5">
        <v>0.1</v>
      </c>
      <c r="G11" s="5">
        <f>TRUNC(SUM(D11*E11*F11/1000),2)</f>
        <v>16.5</v>
      </c>
      <c r="H11" s="5">
        <f>G11*C11</f>
        <v>3960</v>
      </c>
      <c r="I11" s="15">
        <v>344.6</v>
      </c>
    </row>
    <row r="12" ht="15" customHeight="1" spans="1:12">
      <c r="A12" s="4">
        <v>39847</v>
      </c>
      <c r="B12" s="2" t="s">
        <v>13</v>
      </c>
      <c r="C12" s="2">
        <v>288</v>
      </c>
      <c r="D12" s="2">
        <v>100</v>
      </c>
      <c r="E12" s="2">
        <v>1225</v>
      </c>
      <c r="F12" s="5">
        <v>0.1</v>
      </c>
      <c r="G12" s="5">
        <f>TRUNC(SUM(D12*E12*F12/1000),2)</f>
        <v>12.25</v>
      </c>
      <c r="H12" s="5">
        <f>G12*C12</f>
        <v>3528</v>
      </c>
      <c r="I12" s="15">
        <v>381.4</v>
      </c>
      <c r="L12" s="16"/>
    </row>
    <row r="13" ht="15" customHeight="1" spans="1:9">
      <c r="A13" s="4">
        <v>39851</v>
      </c>
      <c r="B13" s="2" t="s">
        <v>12</v>
      </c>
      <c r="C13" s="2">
        <v>240</v>
      </c>
      <c r="D13" s="2">
        <v>100</v>
      </c>
      <c r="E13" s="2">
        <v>1650</v>
      </c>
      <c r="F13" s="5">
        <v>0.1</v>
      </c>
      <c r="G13" s="5">
        <f>TRUNC(SUM(D13*E13*F13/1000),2)</f>
        <v>16.5</v>
      </c>
      <c r="H13" s="5">
        <f>G13*C13</f>
        <v>3960</v>
      </c>
      <c r="I13" s="15">
        <v>330.6</v>
      </c>
    </row>
    <row r="14" ht="15" customHeight="1" spans="1:9">
      <c r="A14" s="4"/>
      <c r="B14" s="2" t="s">
        <v>14</v>
      </c>
      <c r="C14" s="2">
        <f>SUM(C3:C13)</f>
        <v>2848</v>
      </c>
      <c r="D14" s="2"/>
      <c r="E14" s="2"/>
      <c r="F14" s="2"/>
      <c r="G14" s="2"/>
      <c r="H14" s="2">
        <f>SUM(H3:H13)</f>
        <v>22362</v>
      </c>
      <c r="I14" s="15">
        <f>SUM(I3:I13)</f>
        <v>3960.2</v>
      </c>
    </row>
    <row r="15" spans="1:9">
      <c r="A15" s="1"/>
      <c r="B15" s="1"/>
      <c r="C15" s="2"/>
      <c r="D15" s="2"/>
      <c r="E15" s="2"/>
      <c r="F15" s="2"/>
      <c r="G15" s="2"/>
      <c r="H15" s="2"/>
      <c r="I15" s="2"/>
    </row>
    <row r="16" ht="14.25" spans="1:4">
      <c r="A16" s="6"/>
      <c r="B16" s="6"/>
      <c r="C16" s="6"/>
      <c r="D16" s="6"/>
    </row>
    <row r="17" ht="14.25" spans="1:4">
      <c r="A17" s="7" t="s">
        <v>15</v>
      </c>
      <c r="B17" s="7"/>
      <c r="C17" s="7"/>
      <c r="D17" s="7"/>
    </row>
    <row r="18" ht="14.25" spans="1:4">
      <c r="A18" s="8" t="s">
        <v>1</v>
      </c>
      <c r="B18" s="8" t="s">
        <v>16</v>
      </c>
      <c r="C18" s="8" t="s">
        <v>17</v>
      </c>
      <c r="D18" s="8" t="s">
        <v>9</v>
      </c>
    </row>
    <row r="19" spans="1:4">
      <c r="A19" s="9"/>
      <c r="B19" s="10"/>
      <c r="C19" s="11">
        <v>0</v>
      </c>
      <c r="D19" s="11">
        <v>0</v>
      </c>
    </row>
    <row r="20" spans="1:4">
      <c r="A20" s="12"/>
      <c r="B20" s="10"/>
      <c r="C20" s="2">
        <v>0</v>
      </c>
      <c r="D20" s="11">
        <v>0</v>
      </c>
    </row>
    <row r="21" spans="1:4">
      <c r="A21" s="1" t="s">
        <v>14</v>
      </c>
      <c r="B21" s="1"/>
      <c r="C21" s="2"/>
      <c r="D21" s="2">
        <v>0</v>
      </c>
    </row>
    <row r="23" spans="1:2">
      <c r="A23" s="1" t="s">
        <v>18</v>
      </c>
      <c r="B23" s="1"/>
    </row>
    <row r="24" spans="1:2">
      <c r="A24" s="2" t="s">
        <v>19</v>
      </c>
      <c r="B24" s="2">
        <f>I14</f>
        <v>3960.2</v>
      </c>
    </row>
    <row r="25" spans="1:2">
      <c r="A25" s="2" t="s">
        <v>20</v>
      </c>
      <c r="B25" s="2">
        <v>0</v>
      </c>
    </row>
    <row r="26" spans="1:2">
      <c r="A26" s="2" t="s">
        <v>21</v>
      </c>
      <c r="B26" s="2">
        <v>0</v>
      </c>
    </row>
    <row r="27" spans="1:2">
      <c r="A27" s="2" t="s">
        <v>14</v>
      </c>
      <c r="B27" s="2">
        <v>0</v>
      </c>
    </row>
    <row r="29" spans="1:2">
      <c r="A29" s="2" t="s">
        <v>22</v>
      </c>
      <c r="B29" s="2">
        <v>0</v>
      </c>
    </row>
    <row r="30" spans="1:2">
      <c r="A30" s="2" t="s">
        <v>23</v>
      </c>
      <c r="B30" s="2">
        <v>0</v>
      </c>
    </row>
    <row r="31" spans="1:2">
      <c r="A31" s="3"/>
      <c r="B31" s="2">
        <v>0</v>
      </c>
    </row>
    <row r="32" spans="1:2">
      <c r="A32" s="3"/>
      <c r="B32" s="2">
        <v>0</v>
      </c>
    </row>
    <row r="33" spans="1:2">
      <c r="A33" s="2" t="s">
        <v>14</v>
      </c>
      <c r="B33" s="2">
        <f>SUM(B29:B32)</f>
        <v>0</v>
      </c>
    </row>
    <row r="35" ht="20.25" spans="1:9">
      <c r="A35" s="13" t="s">
        <v>24</v>
      </c>
      <c r="B35" s="13"/>
      <c r="C35" s="13"/>
      <c r="D35" s="13"/>
      <c r="E35" s="13"/>
      <c r="F35" s="13"/>
      <c r="G35" s="13"/>
      <c r="H35" s="14">
        <f>B33</f>
        <v>0</v>
      </c>
      <c r="I35" s="14" t="s">
        <v>25</v>
      </c>
    </row>
    <row r="36" ht="20.25" spans="1:9">
      <c r="A36" s="13" t="s">
        <v>26</v>
      </c>
      <c r="B36" s="13"/>
      <c r="C36" s="13"/>
      <c r="D36" s="13"/>
      <c r="E36" s="13"/>
      <c r="F36" s="13"/>
      <c r="G36" s="13"/>
      <c r="H36" s="14">
        <v>0</v>
      </c>
      <c r="I36" s="14" t="s">
        <v>27</v>
      </c>
    </row>
  </sheetData>
  <mergeCells count="7">
    <mergeCell ref="A1:I1"/>
    <mergeCell ref="A15:B15"/>
    <mergeCell ref="A17:D17"/>
    <mergeCell ref="A21:B21"/>
    <mergeCell ref="A23:B23"/>
    <mergeCell ref="A35:G35"/>
    <mergeCell ref="A36:G36"/>
  </mergeCells>
  <pageMargins left="0.275" right="0.0784722222222222" top="0.393055555555556" bottom="0.472222222222222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2023-07-31T01:26:00Z</dcterms:created>
  <dcterms:modified xsi:type="dcterms:W3CDTF">2008-12-31T21:33:03Z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E27024291353408AB492B9D3F6E8D9AF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