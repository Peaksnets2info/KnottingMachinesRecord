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Sheet1!$A$1:$M$34</definedName>
  </definedNames>
  <calcPr calcId="144525"/>
</workbook>
</file>

<file path=xl/sharedStrings.xml><?xml version="1.0" encoding="utf-8"?>
<sst xmlns="http://schemas.openxmlformats.org/spreadsheetml/2006/main" count="92" uniqueCount="44">
  <si>
    <t>王东海2026年1-2月份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</si>
  <si>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</si>
  <si>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</si>
  <si>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</si>
  <si>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</si>
  <si>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</si>
  <si>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</si>
  <si>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</si>
  <si>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</si>
  <si>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</si>
  <si>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0.15*9.6*160*2410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</si>
  <si>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</si>
  <si>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</si>
  <si>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</si>
  <si>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</si>
  <si>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</si>
  <si>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</si>
  <si>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</si>
  <si>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</si>
  <si>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</si>
  <si>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</si>
  <si>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</si>
  <si>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0.17高强</t>
  </si>
  <si>
    <t>付款12月16日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</si>
  <si>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</si>
  <si>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</si>
  <si>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</si>
  <si>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</si>
  <si>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</si>
  <si>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</si>
  <si>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</si>
  <si>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</si>
  <si>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</si>
  <si>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</si>
  <si>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</si>
  <si>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</si>
  <si>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</si>
  <si>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</si>
  <si>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</si>
  <si>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</si>
  <si>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</si>
  <si>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</si>
  <si>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</si>
  <si>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付款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</si>
</sst>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sz val="12"/>
      <color rgb="FFFF0000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8" fillId="25" borderId="9" applyNumberFormat="0" applyAlignment="0" applyProtection="0">
      <alignment vertical="center"/>
    </xf>
    <xf numFmtId="0" fontId="20" fillId="25" borderId="5" applyNumberFormat="0" applyAlignment="0" applyProtection="0">
      <alignment vertical="center"/>
    </xf>
    <xf numFmtId="0" fontId="22" fillId="28" borderId="12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4" xfId="0" applyNumberFormat="1" applyBorder="1" applyAlignment="1">
      <alignment vertical="center"/>
    </xf>
    <xf numFmtId="58" fontId="0" fillId="0" borderId="3" xfId="0" applyNumberFormat="1" applyBorder="1" applyAlignment="1">
      <alignment vertical="center"/>
    </xf>
    <xf numFmtId="58" fontId="0" fillId="0" borderId="4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G17" sqref="G17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5">
        <v>39820</v>
      </c>
      <c r="B3" s="3" t="s">
        <v>10</v>
      </c>
      <c r="C3" s="3">
        <v>260</v>
      </c>
      <c r="D3" s="3">
        <v>160</v>
      </c>
      <c r="E3" s="3">
        <v>1205</v>
      </c>
      <c r="F3" s="25">
        <v>0.1</v>
      </c>
      <c r="G3" s="3">
        <f t="shared" ref="G3:G8" si="0">TRUNC(SUM(D3*E3*F3/1000),2)</f>
        <v>19.28</v>
      </c>
      <c r="H3" s="3">
        <f t="shared" ref="H3:H8" si="1">G3*C3</f>
        <v>5012.8</v>
      </c>
      <c r="I3" s="21">
        <v>445</v>
      </c>
    </row>
    <row r="4" spans="1:9">
      <c r="A4" s="26">
        <v>39823</v>
      </c>
      <c r="B4" s="3" t="s">
        <v>10</v>
      </c>
      <c r="C4" s="3">
        <v>195</v>
      </c>
      <c r="D4" s="3">
        <v>160</v>
      </c>
      <c r="E4" s="3">
        <v>1205</v>
      </c>
      <c r="F4" s="25">
        <v>0.1</v>
      </c>
      <c r="G4" s="3">
        <f t="shared" si="0"/>
        <v>19.28</v>
      </c>
      <c r="H4" s="3">
        <f t="shared" si="1"/>
        <v>3759.6</v>
      </c>
      <c r="I4" s="30">
        <v>334.2</v>
      </c>
    </row>
    <row r="5" spans="1:9">
      <c r="A5" s="5">
        <v>39828</v>
      </c>
      <c r="B5" s="3" t="s">
        <v>10</v>
      </c>
      <c r="C5" s="3">
        <v>195</v>
      </c>
      <c r="D5" s="3">
        <v>160</v>
      </c>
      <c r="E5" s="3">
        <v>1205</v>
      </c>
      <c r="F5" s="25">
        <v>0.1</v>
      </c>
      <c r="G5" s="3">
        <f t="shared" si="0"/>
        <v>19.28</v>
      </c>
      <c r="H5" s="3">
        <f t="shared" si="1"/>
        <v>3759.6</v>
      </c>
      <c r="I5" s="21">
        <v>333.6</v>
      </c>
    </row>
    <row r="6" spans="1:9">
      <c r="A6" s="27">
        <v>39835</v>
      </c>
      <c r="B6" s="3" t="s">
        <v>10</v>
      </c>
      <c r="C6" s="3">
        <v>250</v>
      </c>
      <c r="D6" s="3">
        <v>160</v>
      </c>
      <c r="E6" s="3">
        <v>1205</v>
      </c>
      <c r="F6" s="25">
        <v>0.1</v>
      </c>
      <c r="G6" s="3">
        <f t="shared" si="0"/>
        <v>19.28</v>
      </c>
      <c r="H6" s="3">
        <f t="shared" si="1"/>
        <v>4820</v>
      </c>
      <c r="I6" s="31">
        <v>434.8</v>
      </c>
    </row>
    <row r="7" spans="1:9">
      <c r="A7" s="5">
        <v>39840</v>
      </c>
      <c r="B7" s="3" t="s">
        <v>10</v>
      </c>
      <c r="C7" s="3">
        <v>255</v>
      </c>
      <c r="D7" s="3">
        <v>160</v>
      </c>
      <c r="E7" s="3">
        <v>1205</v>
      </c>
      <c r="F7" s="25">
        <v>0.1</v>
      </c>
      <c r="G7" s="3">
        <f t="shared" si="0"/>
        <v>19.28</v>
      </c>
      <c r="H7" s="3">
        <f t="shared" si="1"/>
        <v>4916.4</v>
      </c>
      <c r="I7" s="21">
        <v>443.8</v>
      </c>
    </row>
    <row r="8" spans="1:9">
      <c r="A8" s="27">
        <v>39848</v>
      </c>
      <c r="B8" s="3" t="s">
        <v>10</v>
      </c>
      <c r="C8" s="3">
        <v>260</v>
      </c>
      <c r="D8" s="3">
        <v>160</v>
      </c>
      <c r="E8" s="3">
        <v>1205</v>
      </c>
      <c r="F8" s="25">
        <v>0.1</v>
      </c>
      <c r="G8" s="3">
        <f t="shared" si="0"/>
        <v>19.28</v>
      </c>
      <c r="H8" s="3">
        <f t="shared" si="1"/>
        <v>5012.8</v>
      </c>
      <c r="I8" s="30">
        <v>449</v>
      </c>
    </row>
    <row r="9" spans="1:9">
      <c r="A9" s="28"/>
      <c r="B9" s="13" t="s">
        <v>11</v>
      </c>
      <c r="C9" s="13">
        <f>SUM(C3:C8)</f>
        <v>1415</v>
      </c>
      <c r="D9" s="13"/>
      <c r="E9" s="3"/>
      <c r="F9" s="3"/>
      <c r="G9" s="3"/>
      <c r="H9" s="3">
        <f>SUM(H3:H8)</f>
        <v>27281.2</v>
      </c>
      <c r="I9" s="22">
        <f>SUM(I3:I8)</f>
        <v>2440.4</v>
      </c>
    </row>
    <row r="10" spans="1:9">
      <c r="A10" s="12"/>
      <c r="B10" s="13"/>
      <c r="C10" s="13"/>
      <c r="D10" s="13"/>
      <c r="I10" s="24"/>
    </row>
    <row r="11" ht="14.25" spans="1:4">
      <c r="A11" s="14" t="s">
        <v>12</v>
      </c>
      <c r="B11" s="14"/>
      <c r="C11" s="14"/>
      <c r="D11" s="14"/>
    </row>
    <row r="12" ht="14.25" spans="1:4">
      <c r="A12" s="15" t="s">
        <v>1</v>
      </c>
      <c r="B12" s="15" t="s">
        <v>13</v>
      </c>
      <c r="C12" s="15" t="s">
        <v>14</v>
      </c>
      <c r="D12" s="15" t="s">
        <v>15</v>
      </c>
    </row>
    <row r="13" ht="14.25" spans="1:4">
      <c r="A13" s="15"/>
      <c r="B13" s="15"/>
      <c r="C13" s="15">
        <v>0</v>
      </c>
      <c r="D13" s="29">
        <v>0</v>
      </c>
    </row>
    <row r="14" spans="1:13">
      <c r="A14" s="16"/>
      <c r="B14" s="3"/>
      <c r="C14" s="3">
        <v>0</v>
      </c>
      <c r="D14" s="25">
        <v>0</v>
      </c>
      <c r="M14" s="23"/>
    </row>
    <row r="15" spans="1:4">
      <c r="A15" s="16"/>
      <c r="B15" s="3"/>
      <c r="C15" s="3">
        <v>0</v>
      </c>
      <c r="D15" s="25">
        <v>0</v>
      </c>
    </row>
    <row r="16" spans="1:4">
      <c r="A16" s="16"/>
      <c r="B16" s="3"/>
      <c r="C16" s="3">
        <v>0</v>
      </c>
      <c r="D16" s="25">
        <v>0</v>
      </c>
    </row>
    <row r="17" spans="1:4">
      <c r="A17" s="16"/>
      <c r="B17" s="3"/>
      <c r="C17" s="3">
        <v>0</v>
      </c>
      <c r="D17" s="25">
        <f>C17*40</f>
        <v>0</v>
      </c>
    </row>
    <row r="18" spans="1:4">
      <c r="A18" s="17" t="s">
        <v>11</v>
      </c>
      <c r="B18" s="17"/>
      <c r="C18" s="3">
        <f>SUM(C17:C17)</f>
        <v>0</v>
      </c>
      <c r="D18" s="25">
        <f>SUM(D13:D17)</f>
        <v>0</v>
      </c>
    </row>
    <row r="20" spans="1:2">
      <c r="A20" s="17" t="s">
        <v>16</v>
      </c>
      <c r="B20" s="17"/>
    </row>
    <row r="21" spans="1:2">
      <c r="A21" s="3" t="s">
        <v>17</v>
      </c>
      <c r="B21" s="3">
        <f>I9*1.025</f>
        <v>2501.41</v>
      </c>
    </row>
    <row r="22" spans="1:2">
      <c r="A22" s="3" t="s">
        <v>18</v>
      </c>
      <c r="B22" s="25">
        <v>0</v>
      </c>
    </row>
    <row r="23" spans="1:2">
      <c r="A23" s="3" t="s">
        <v>19</v>
      </c>
      <c r="B23" s="25">
        <v>0</v>
      </c>
    </row>
    <row r="24" spans="1:2">
      <c r="A24" s="3" t="s">
        <v>11</v>
      </c>
      <c r="B24" s="3">
        <f>SUM(B21:B23)</f>
        <v>2501.41</v>
      </c>
    </row>
    <row r="26" spans="1:2">
      <c r="A26" s="3" t="s">
        <v>20</v>
      </c>
      <c r="B26" s="25">
        <v>0</v>
      </c>
    </row>
    <row r="27" spans="1:2">
      <c r="A27" s="3" t="s">
        <v>21</v>
      </c>
      <c r="B27" s="25">
        <v>0</v>
      </c>
    </row>
    <row r="28" spans="1:2">
      <c r="A28" s="3" t="s">
        <v>22</v>
      </c>
      <c r="B28" s="25">
        <v>0</v>
      </c>
    </row>
    <row r="29" spans="1:2">
      <c r="A29" s="16" t="s">
        <v>23</v>
      </c>
      <c r="B29" s="25">
        <v>0</v>
      </c>
    </row>
    <row r="30" spans="1:2">
      <c r="A30" s="3" t="s">
        <v>11</v>
      </c>
      <c r="B30" s="25">
        <f>SUM(B26:B29)</f>
        <v>0</v>
      </c>
    </row>
    <row r="32" ht="20.25" spans="1:9">
      <c r="A32" s="18" t="s">
        <v>24</v>
      </c>
      <c r="B32" s="18"/>
      <c r="C32" s="18"/>
      <c r="D32" s="18"/>
      <c r="E32" s="18"/>
      <c r="F32" s="18"/>
      <c r="G32" s="18"/>
      <c r="H32" s="19">
        <f>B30</f>
        <v>0</v>
      </c>
      <c r="I32" s="19" t="s">
        <v>25</v>
      </c>
    </row>
    <row r="33" ht="20.25" spans="1:9">
      <c r="A33" s="18" t="s">
        <v>26</v>
      </c>
      <c r="B33" s="18"/>
      <c r="C33" s="18"/>
      <c r="D33" s="18"/>
      <c r="E33" s="18"/>
      <c r="F33" s="18"/>
      <c r="G33" s="18"/>
      <c r="H33" s="19">
        <v>0</v>
      </c>
      <c r="I33" s="19" t="s">
        <v>27</v>
      </c>
    </row>
  </sheetData>
  <mergeCells count="6">
    <mergeCell ref="A1:I1"/>
    <mergeCell ref="A11:D11"/>
    <mergeCell ref="A18:B18"/>
    <mergeCell ref="A20:B20"/>
    <mergeCell ref="A32:G32"/>
    <mergeCell ref="A33:G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28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29</v>
      </c>
      <c r="B3" s="3" t="s">
        <v>30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31</v>
      </c>
      <c r="B4" s="3" t="s">
        <v>32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33</v>
      </c>
      <c r="B5" s="3" t="s">
        <v>32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34</v>
      </c>
      <c r="B6" s="3" t="s">
        <v>32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35</v>
      </c>
      <c r="B7" s="3" t="s">
        <v>30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36</v>
      </c>
      <c r="B8" s="3" t="s">
        <v>30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37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38</v>
      </c>
      <c r="B13" s="3" t="s">
        <v>39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40</v>
      </c>
    </row>
    <row r="14" spans="1:9">
      <c r="A14" s="11"/>
      <c r="B14" s="3" t="s">
        <v>41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12</v>
      </c>
      <c r="B16" s="14"/>
      <c r="C16" s="14"/>
      <c r="D16" s="14"/>
    </row>
    <row r="17" ht="14.25" spans="1:4">
      <c r="A17" s="15" t="s">
        <v>1</v>
      </c>
      <c r="B17" s="15" t="s">
        <v>13</v>
      </c>
      <c r="C17" s="15" t="s">
        <v>42</v>
      </c>
      <c r="D17" s="15" t="s">
        <v>15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11</v>
      </c>
      <c r="B21" s="17"/>
      <c r="C21" s="3">
        <v>21</v>
      </c>
      <c r="D21" s="3">
        <f>SUM(D18:D20)</f>
        <v>0</v>
      </c>
    </row>
    <row r="23" spans="1:2">
      <c r="A23" s="17" t="s">
        <v>16</v>
      </c>
      <c r="B23" s="17"/>
    </row>
    <row r="24" spans="1:2">
      <c r="A24" s="3" t="s">
        <v>17</v>
      </c>
      <c r="B24" s="3">
        <f>I13*1.025</f>
        <v>2.87</v>
      </c>
    </row>
    <row r="25" spans="1:2">
      <c r="A25" s="3" t="s">
        <v>18</v>
      </c>
      <c r="B25" s="3">
        <v>-3539.6</v>
      </c>
    </row>
    <row r="26" spans="1:2">
      <c r="A26" s="3" t="s">
        <v>19</v>
      </c>
      <c r="B26" s="3">
        <v>-585.6</v>
      </c>
    </row>
    <row r="27" spans="1:2">
      <c r="A27" s="3" t="s">
        <v>11</v>
      </c>
      <c r="B27" s="3">
        <f>SUM(B24:B26)</f>
        <v>-4122.33</v>
      </c>
    </row>
    <row r="29" spans="1:2">
      <c r="A29" s="3" t="s">
        <v>20</v>
      </c>
      <c r="B29" s="3">
        <v>68537</v>
      </c>
    </row>
    <row r="30" spans="1:2">
      <c r="A30" s="3" t="s">
        <v>21</v>
      </c>
      <c r="B30" s="3">
        <v>13837</v>
      </c>
    </row>
    <row r="31" spans="1:2">
      <c r="A31" s="16" t="s">
        <v>43</v>
      </c>
      <c r="B31" s="3">
        <v>0</v>
      </c>
    </row>
    <row r="32" spans="1:2">
      <c r="A32" s="3" t="s">
        <v>11</v>
      </c>
      <c r="B32" s="3">
        <f>SUM(B29:B31)</f>
        <v>82374</v>
      </c>
    </row>
    <row r="34" ht="20.25" spans="1:9">
      <c r="A34" s="18" t="s">
        <v>24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25</v>
      </c>
    </row>
    <row r="35" ht="20.25" spans="1:9">
      <c r="A35" s="18" t="s">
        <v>26</v>
      </c>
      <c r="B35" s="18"/>
      <c r="C35" s="18"/>
      <c r="D35" s="18"/>
      <c r="E35" s="18"/>
      <c r="F35" s="18"/>
      <c r="G35" s="18"/>
      <c r="H35" s="19">
        <v>687.4</v>
      </c>
      <c r="I35" s="19" t="s">
        <v>27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2026-03-11T15:58:53Z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057E22D90C364E339FC4F9DD5022F8BF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