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7860"/>
  </bookViews>
  <sheets>
    <sheet name="Sheet1" sheetId="1" r:id="rId1"/>
  </sheets>
  <definedNames>
    <definedName name="_xlnm._FilterDatabase" localSheetId="0" hidden="1">Sheet1!$A$1:$I$30</definedName>
  </definedNames>
  <calcPr calcId="144525"/>
</workbook>
</file>

<file path=xl/sharedStrings.xml><?xml version="1.0" encoding="utf-8"?>
<sst xmlns="http://schemas.openxmlformats.org/spreadsheetml/2006/main" count="34" uniqueCount="25">
  <si>
    <t>杨祖元2026年1-2月份</t>
  </si>
  <si>
    <t>日期</t>
  </si>
  <si>
    <t>规格</t>
  </si>
  <si>
    <t>条数</t>
  </si>
  <si>
    <t>目数</t>
  </si>
  <si>
    <t>边数</t>
  </si>
  <si>
    <t>加工费</t>
  </si>
  <si>
    <t>价格/条</t>
  </si>
  <si>
    <t>金额/元</t>
  </si>
  <si>
    <t>重量/斤</t>
  </si>
  <si>
    <t>2股*8.25（3-1/4"）**100*1550</t>
  </si>
  <si>
    <t>合计</t>
  </si>
  <si>
    <t>送丝</t>
  </si>
  <si>
    <t>丝径</t>
  </si>
  <si>
    <t>件数</t>
  </si>
  <si>
    <t>总结(负号为欠本公司）</t>
  </si>
  <si>
    <t>送网重</t>
  </si>
  <si>
    <t>送丝重</t>
  </si>
  <si>
    <t>上月欠丝</t>
  </si>
  <si>
    <t>上欠加工费</t>
  </si>
  <si>
    <t>本月加工费</t>
  </si>
  <si>
    <t>下欠加工费</t>
  </si>
  <si>
    <t>元</t>
  </si>
  <si>
    <t>下欠公司丝</t>
  </si>
  <si>
    <t>斤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</si>
</sst>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4">
    <font>
      <sz val="11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b/>
      <sz val="16"/>
      <color indexed="10"/>
      <name val="宋体"/>
      <charset val="134"/>
    </font>
    <font>
      <sz val="11"/>
      <color theme="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6" fillId="6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2" fillId="1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21" borderId="6" applyNumberFormat="0" applyFont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15" fillId="0" borderId="5" applyNumberFormat="0" applyFill="0" applyAlignment="0" applyProtection="0">
      <alignment vertical="center"/>
    </xf>
    <xf numFmtId="0" fontId="5" fillId="28" borderId="0" applyNumberFormat="0" applyBorder="0" applyAlignment="0" applyProtection="0">
      <alignment vertical="center"/>
    </xf>
    <xf numFmtId="0" fontId="11" fillId="13" borderId="4" applyNumberFormat="0" applyAlignment="0" applyProtection="0">
      <alignment vertical="center"/>
    </xf>
    <xf numFmtId="0" fontId="14" fillId="13" borderId="2" applyNumberFormat="0" applyAlignment="0" applyProtection="0">
      <alignment vertical="center"/>
    </xf>
    <xf numFmtId="0" fontId="9" fillId="9" borderId="3" applyNumberFormat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5" fillId="12" borderId="0" applyNumberFormat="0" applyBorder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3" fillId="17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58" fontId="0" fillId="0" borderId="1" xfId="0" applyNumberFormat="1" applyBorder="1">
      <alignment vertical="center"/>
    </xf>
    <xf numFmtId="0" fontId="1" fillId="0" borderId="1" xfId="0" applyFont="1" applyBorder="1">
      <alignment vertical="center"/>
    </xf>
    <xf numFmtId="58" fontId="0" fillId="0" borderId="1" xfId="0" applyNumberFormat="1" applyBorder="1" applyAlignment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1" xfId="0" applyFont="1" applyFill="1" applyBorder="1" applyAlignment="1">
      <alignment horizontal="center" vertical="center"/>
    </xf>
    <xf numFmtId="0" fontId="2" fillId="0" borderId="1" xfId="0" applyFont="1" applyFill="1" applyBorder="1" applyAlignment="1">
      <alignment vertical="center"/>
    </xf>
    <xf numFmtId="58" fontId="3" fillId="0" borderId="1" xfId="0" applyNumberFormat="1" applyFont="1" applyFill="1" applyBorder="1" applyAlignment="1">
      <alignment horizontal="right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vertical="center"/>
    </xf>
    <xf numFmtId="58" fontId="3" fillId="0" borderId="1" xfId="0" applyNumberFormat="1" applyFont="1" applyFill="1" applyBorder="1" applyAlignment="1">
      <alignment vertical="center"/>
    </xf>
    <xf numFmtId="0" fontId="4" fillId="2" borderId="1" xfId="0" applyNumberFormat="1" applyFont="1" applyFill="1" applyBorder="1" applyAlignment="1" applyProtection="1">
      <alignment horizontal="right" vertical="center"/>
    </xf>
    <xf numFmtId="0" fontId="4" fillId="2" borderId="1" xfId="0" applyNumberFormat="1" applyFont="1" applyFill="1" applyBorder="1" applyAlignment="1" applyProtection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0"/>
  <sheetViews>
    <sheetView tabSelected="1" workbookViewId="0">
      <selection activeCell="I15" sqref="I15"/>
    </sheetView>
  </sheetViews>
  <sheetFormatPr defaultColWidth="9" defaultRowHeight="13.5"/>
  <cols>
    <col min="1" max="1" width="10" customWidth="1"/>
    <col min="2" max="2" width="29.5" customWidth="1"/>
    <col min="3" max="3" width="7.75" customWidth="1"/>
    <col min="4" max="5" width="8.25" customWidth="1"/>
    <col min="6" max="6" width="8.375" customWidth="1"/>
    <col min="7" max="7" width="8" customWidth="1"/>
    <col min="8" max="8" width="11.125" customWidth="1"/>
  </cols>
  <sheetData>
    <row r="1" spans="1:9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>
      <c r="A3" s="3">
        <v>39816</v>
      </c>
      <c r="B3" s="2" t="s">
        <v>10</v>
      </c>
      <c r="C3" s="2">
        <v>576</v>
      </c>
      <c r="D3" s="2">
        <v>100</v>
      </c>
      <c r="E3" s="2">
        <v>775</v>
      </c>
      <c r="F3" s="4">
        <v>0.1</v>
      </c>
      <c r="G3" s="2">
        <f>TRUNC(SUM(D3*E3*F3/1000),2)</f>
        <v>7.75</v>
      </c>
      <c r="H3" s="2">
        <f>C3*G3</f>
        <v>4464</v>
      </c>
      <c r="I3" s="15">
        <v>765.6</v>
      </c>
    </row>
    <row r="4" spans="1:9">
      <c r="A4" s="5"/>
      <c r="B4" s="2" t="s">
        <v>10</v>
      </c>
      <c r="C4" s="2">
        <v>624</v>
      </c>
      <c r="D4" s="2">
        <v>100</v>
      </c>
      <c r="E4" s="2">
        <v>775</v>
      </c>
      <c r="F4" s="4">
        <v>0.1</v>
      </c>
      <c r="G4" s="2">
        <f>TRUNC(SUM(D4*E4*F4/1000),2)</f>
        <v>7.75</v>
      </c>
      <c r="H4" s="2">
        <f>G4*C4</f>
        <v>4836</v>
      </c>
      <c r="I4" s="15">
        <v>829.4</v>
      </c>
    </row>
    <row r="5" spans="1:9">
      <c r="A5" s="5">
        <v>39824</v>
      </c>
      <c r="B5" s="2" t="s">
        <v>10</v>
      </c>
      <c r="C5" s="2">
        <v>672</v>
      </c>
      <c r="D5" s="2">
        <v>100</v>
      </c>
      <c r="E5" s="2">
        <v>775</v>
      </c>
      <c r="F5" s="4">
        <v>0.1</v>
      </c>
      <c r="G5" s="2">
        <f>TRUNC(SUM(D5*E5*F5/1000),2)</f>
        <v>7.75</v>
      </c>
      <c r="H5" s="2">
        <f>G5*C5</f>
        <v>5208</v>
      </c>
      <c r="I5" s="15">
        <v>893.2</v>
      </c>
    </row>
    <row r="6" spans="1:9">
      <c r="A6" s="5"/>
      <c r="B6" s="2" t="s">
        <v>10</v>
      </c>
      <c r="C6" s="2">
        <v>624</v>
      </c>
      <c r="D6" s="2">
        <v>100</v>
      </c>
      <c r="E6" s="2">
        <v>775</v>
      </c>
      <c r="F6" s="4">
        <v>0.1</v>
      </c>
      <c r="G6" s="2">
        <f>TRUNC(SUM(D6*E6*F6/1000),2)</f>
        <v>7.75</v>
      </c>
      <c r="H6" s="2">
        <f>G6*C6</f>
        <v>4836</v>
      </c>
      <c r="I6" s="15">
        <v>819.8</v>
      </c>
    </row>
    <row r="7" spans="1:9">
      <c r="A7" s="5">
        <v>39845</v>
      </c>
      <c r="B7" s="2" t="s">
        <v>10</v>
      </c>
      <c r="C7" s="2">
        <v>1160</v>
      </c>
      <c r="D7" s="2">
        <v>100</v>
      </c>
      <c r="E7" s="2">
        <v>775</v>
      </c>
      <c r="F7" s="4">
        <v>0.1</v>
      </c>
      <c r="G7" s="2">
        <f>TRUNC(SUM(D7*E7*F7/1000),2)</f>
        <v>7.75</v>
      </c>
      <c r="H7" s="2">
        <f>G7*C7</f>
        <v>8990</v>
      </c>
      <c r="I7" s="15">
        <v>1521.2</v>
      </c>
    </row>
    <row r="8" ht="15" customHeight="1" spans="1:9">
      <c r="A8" s="5"/>
      <c r="B8" s="2" t="s">
        <v>11</v>
      </c>
      <c r="C8" s="2">
        <f>SUM(C3:C7)</f>
        <v>3656</v>
      </c>
      <c r="D8" s="2"/>
      <c r="E8" s="2"/>
      <c r="F8" s="2"/>
      <c r="G8" s="2"/>
      <c r="H8" s="2">
        <f>SUM(H3:H7)</f>
        <v>28334</v>
      </c>
      <c r="I8" s="15">
        <f>SUM(I3:I7)</f>
        <v>4829.2</v>
      </c>
    </row>
    <row r="9" spans="1:9">
      <c r="A9" s="1"/>
      <c r="B9" s="1"/>
      <c r="C9" s="2"/>
      <c r="D9" s="2"/>
      <c r="E9" s="2"/>
      <c r="F9" s="2"/>
      <c r="G9" s="2"/>
      <c r="H9" s="2"/>
      <c r="I9" s="2"/>
    </row>
    <row r="10" ht="14.25" spans="1:4">
      <c r="A10" s="6"/>
      <c r="B10" s="6"/>
      <c r="C10" s="6"/>
      <c r="D10" s="6"/>
    </row>
    <row r="11" ht="14.25" spans="1:4">
      <c r="A11" s="7" t="s">
        <v>12</v>
      </c>
      <c r="B11" s="7"/>
      <c r="C11" s="7"/>
      <c r="D11" s="7"/>
    </row>
    <row r="12" ht="14.25" spans="1:4">
      <c r="A12" s="8" t="s">
        <v>1</v>
      </c>
      <c r="B12" s="8" t="s">
        <v>13</v>
      </c>
      <c r="C12" s="8" t="s">
        <v>14</v>
      </c>
      <c r="D12" s="8" t="s">
        <v>9</v>
      </c>
    </row>
    <row r="13" spans="1:4">
      <c r="A13" s="9"/>
      <c r="B13" s="10"/>
      <c r="C13" s="11">
        <v>0</v>
      </c>
      <c r="D13" s="11">
        <v>0</v>
      </c>
    </row>
    <row r="14" spans="1:4">
      <c r="A14" s="12"/>
      <c r="B14" s="10"/>
      <c r="C14" s="2">
        <v>0</v>
      </c>
      <c r="D14" s="11">
        <v>0</v>
      </c>
    </row>
    <row r="15" spans="1:4">
      <c r="A15" s="1" t="s">
        <v>11</v>
      </c>
      <c r="B15" s="1"/>
      <c r="C15" s="2"/>
      <c r="D15" s="2">
        <f>SUM(D13:D14)</f>
        <v>0</v>
      </c>
    </row>
    <row r="17" spans="1:2">
      <c r="A17" s="1" t="s">
        <v>15</v>
      </c>
      <c r="B17" s="1"/>
    </row>
    <row r="18" spans="1:2">
      <c r="A18" s="2" t="s">
        <v>16</v>
      </c>
      <c r="B18" s="2">
        <f>I8</f>
        <v>4829.2</v>
      </c>
    </row>
    <row r="19" spans="1:2">
      <c r="A19" s="2" t="s">
        <v>17</v>
      </c>
      <c r="B19" s="2">
        <f>-D15</f>
        <v>0</v>
      </c>
    </row>
    <row r="20" spans="1:2">
      <c r="A20" s="2" t="s">
        <v>18</v>
      </c>
      <c r="B20" s="2">
        <v>0</v>
      </c>
    </row>
    <row r="21" spans="1:2">
      <c r="A21" s="2" t="s">
        <v>11</v>
      </c>
      <c r="B21" s="2">
        <v>0</v>
      </c>
    </row>
    <row r="23" spans="1:2">
      <c r="A23" s="2" t="s">
        <v>19</v>
      </c>
      <c r="B23" s="2">
        <v>0</v>
      </c>
    </row>
    <row r="24" spans="1:2">
      <c r="A24" s="2" t="s">
        <v>20</v>
      </c>
      <c r="B24" s="2">
        <v>0</v>
      </c>
    </row>
    <row r="25" spans="1:2">
      <c r="A25" s="3">
        <v>0</v>
      </c>
      <c r="B25" s="2">
        <v>0</v>
      </c>
    </row>
    <row r="26" spans="1:2">
      <c r="A26" s="3">
        <v>0</v>
      </c>
      <c r="B26" s="2">
        <v>0</v>
      </c>
    </row>
    <row r="27" spans="1:2">
      <c r="A27" s="2" t="s">
        <v>11</v>
      </c>
      <c r="B27" s="2">
        <f>SUM(B23:B26)</f>
        <v>0</v>
      </c>
    </row>
    <row r="29" ht="20.25" spans="1:9">
      <c r="A29" s="13" t="s">
        <v>21</v>
      </c>
      <c r="B29" s="13"/>
      <c r="C29" s="13"/>
      <c r="D29" s="13"/>
      <c r="E29" s="13"/>
      <c r="F29" s="13"/>
      <c r="G29" s="13"/>
      <c r="H29" s="14">
        <f>B27</f>
        <v>0</v>
      </c>
      <c r="I29" s="14" t="s">
        <v>22</v>
      </c>
    </row>
    <row r="30" ht="20.25" spans="1:9">
      <c r="A30" s="13" t="s">
        <v>23</v>
      </c>
      <c r="B30" s="13"/>
      <c r="C30" s="13"/>
      <c r="D30" s="13"/>
      <c r="E30" s="13"/>
      <c r="F30" s="13"/>
      <c r="G30" s="13"/>
      <c r="H30" s="14">
        <v>0</v>
      </c>
      <c r="I30" s="14" t="s">
        <v>24</v>
      </c>
    </row>
  </sheetData>
  <mergeCells count="7">
    <mergeCell ref="A1:I1"/>
    <mergeCell ref="A9:B9"/>
    <mergeCell ref="A11:D11"/>
    <mergeCell ref="A15:B15"/>
    <mergeCell ref="A17:B17"/>
    <mergeCell ref="A29:G29"/>
    <mergeCell ref="A30:G30"/>
  </mergeCells>
  <pageMargins left="0.275" right="0.0784722222222222" top="0.393055555555556" bottom="0.472222222222222" header="0.156944444444444" footer="0.5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2023-07-31T01:26:00Z</dcterms:created>
  <dcterms:modified xsi:type="dcterms:W3CDTF">2008-12-31T17:57:59Z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AE3D970CA55C4D7E8A28963B5FC2AA29</vt:lpwstr>
  </property>
  <property fmtid="{D5CDD505-2E9C-101B-9397-08002B2CF9AE}" pid="3" name="KSOProductBuildVer">
    <vt:lpwstr>2052-11.1.0.11194</vt:lpwstr>
  </property>
  <property fmtid="{D5CDD505-2E9C-101B-9397-08002B2CF9AE}" pid="4" name="CalculationRule">
    <vt:i4>0</vt:i4>
  </property>
</Properties>
</file>