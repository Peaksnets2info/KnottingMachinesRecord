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<sst xmlns="http://schemas.openxmlformats.org/spreadsheetml/2006/main" count="35" uniqueCount="27">
  <si>
    <t>孙梅花2026年1-2月份</t>
  </si>
  <si>
    <t>日期</t>
  </si>
  <si>
    <t>规格</t>
  </si>
  <si>
    <t>条数</t>
  </si>
  <si>
    <t>目数</t>
  </si>
  <si>
    <t>边数</t>
  </si>
  <si>
    <t>加工费</t>
  </si>
  <si>
    <t>价格/条</t>
  </si>
  <si>
    <t>金额/元</t>
  </si>
  <si>
    <t>重量/斤</t>
  </si>
  <si>
    <t>0.28*6.7*70*2010</t>
  </si>
  <si>
    <t>0.28*5.3*70*2500</t>
  </si>
  <si>
    <t>合计</t>
  </si>
  <si>
    <t>送丝</t>
  </si>
  <si>
    <t>丝径</t>
  </si>
  <si>
    <t>件数</t>
  </si>
  <si>
    <t>重量（斤）</t>
  </si>
  <si>
    <t>0.28兰色丝</t>
  </si>
  <si>
    <t>总结(负号为欠本公司）</t>
  </si>
  <si>
    <t>送网重</t>
  </si>
  <si>
    <t>送丝重</t>
  </si>
  <si>
    <t>上月欠丝</t>
  </si>
  <si>
    <t>上欠加工费</t>
  </si>
  <si>
    <t>本月加工费</t>
  </si>
  <si>
    <t>下欠加工费</t>
  </si>
  <si>
    <t>元</t>
  </si>
  <si>
    <t>下欠公司丝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</si>
</sst>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name val="宋体"/>
      <charset val="134"/>
    </font>
    <font>
      <sz val="12"/>
      <color rgb="FFFF0000"/>
      <name val="宋体"/>
      <charset val="134"/>
    </font>
    <font>
      <sz val="11"/>
      <name val="宋体"/>
      <charset val="134"/>
    </font>
    <font>
      <b/>
      <sz val="16"/>
      <color indexed="10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2" fillId="12" borderId="7" applyNumberFormat="0" applyAlignment="0" applyProtection="0">
      <alignment vertical="center"/>
    </xf>
    <xf numFmtId="0" fontId="22" fillId="12" borderId="6" applyNumberFormat="0" applyAlignment="0" applyProtection="0">
      <alignment vertical="center"/>
    </xf>
    <xf numFmtId="0" fontId="23" fillId="23" borderId="11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58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0" fillId="0" borderId="1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Font="1" applyBorder="1">
      <alignment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5" fillId="2" borderId="1" xfId="0" applyNumberFormat="1" applyFont="1" applyFill="1" applyBorder="1" applyAlignment="1" applyProtection="1">
      <alignment horizontal="right" vertical="center"/>
    </xf>
    <xf numFmtId="0" fontId="5" fillId="2" borderId="1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tabSelected="1" workbookViewId="0">
      <selection activeCell="K7" sqref="K7"/>
    </sheetView>
  </sheetViews>
  <sheetFormatPr defaultColWidth="8.89166666666667" defaultRowHeight="13.5"/>
  <cols>
    <col min="1" max="1" width="15.625" customWidth="1"/>
    <col min="2" max="2" width="21.3333333333333" customWidth="1"/>
    <col min="4" max="4" width="11.5" customWidth="1"/>
    <col min="8" max="8" width="12.25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>
        <v>46028</v>
      </c>
      <c r="B3" s="4" t="s">
        <v>10</v>
      </c>
      <c r="C3" s="4">
        <v>704</v>
      </c>
      <c r="D3" s="4">
        <v>70</v>
      </c>
      <c r="E3" s="4">
        <v>1005</v>
      </c>
      <c r="F3" s="5">
        <v>0.1</v>
      </c>
      <c r="G3" s="6"/>
      <c r="H3" s="4">
        <f>F3*I3</f>
        <v>107.04</v>
      </c>
      <c r="I3" s="4">
        <v>1070.4</v>
      </c>
    </row>
    <row r="4" spans="1:9">
      <c r="A4" s="3">
        <v>46035</v>
      </c>
      <c r="B4" s="4" t="s">
        <v>10</v>
      </c>
      <c r="C4" s="4">
        <v>781</v>
      </c>
      <c r="D4" s="4">
        <v>70</v>
      </c>
      <c r="E4" s="4">
        <v>1005</v>
      </c>
      <c r="F4" s="5">
        <v>0.1</v>
      </c>
      <c r="G4" s="6"/>
      <c r="H4" s="4">
        <f>F4*I4</f>
        <v>112.06</v>
      </c>
      <c r="I4" s="4">
        <v>1120.6</v>
      </c>
    </row>
    <row r="5" spans="1:9">
      <c r="A5" s="3">
        <v>46043</v>
      </c>
      <c r="B5" s="4" t="s">
        <v>10</v>
      </c>
      <c r="C5" s="4">
        <v>1001</v>
      </c>
      <c r="D5" s="4">
        <v>70</v>
      </c>
      <c r="E5" s="4">
        <f>2010/2</f>
        <v>1005</v>
      </c>
      <c r="F5" s="5">
        <v>0.1</v>
      </c>
      <c r="G5" s="6"/>
      <c r="H5" s="4">
        <f>F5*I5</f>
        <v>136.64</v>
      </c>
      <c r="I5" s="4">
        <v>1366.4</v>
      </c>
    </row>
    <row r="6" spans="1:9">
      <c r="A6" s="3">
        <v>46051</v>
      </c>
      <c r="B6" s="4" t="s">
        <v>10</v>
      </c>
      <c r="C6" s="4">
        <v>836</v>
      </c>
      <c r="D6" s="4">
        <v>70</v>
      </c>
      <c r="E6" s="4">
        <f>2010/2</f>
        <v>1005</v>
      </c>
      <c r="F6" s="5">
        <v>0.1</v>
      </c>
      <c r="G6" s="6"/>
      <c r="H6" s="4">
        <f>F6*I6</f>
        <v>111.58</v>
      </c>
      <c r="I6" s="4">
        <v>1115.8</v>
      </c>
    </row>
    <row r="7" spans="1:9">
      <c r="A7" s="3">
        <v>46056</v>
      </c>
      <c r="B7" s="4" t="s">
        <v>10</v>
      </c>
      <c r="C7" s="4">
        <v>209</v>
      </c>
      <c r="D7" s="4">
        <v>70</v>
      </c>
      <c r="E7" s="4">
        <v>1005</v>
      </c>
      <c r="F7" s="5">
        <v>0.1</v>
      </c>
      <c r="G7" s="6"/>
      <c r="H7" s="4">
        <f>F7*I7</f>
        <v>27.98</v>
      </c>
      <c r="I7" s="4">
        <v>279.8</v>
      </c>
    </row>
    <row r="8" spans="1:9">
      <c r="A8" s="3"/>
      <c r="B8" s="4" t="s">
        <v>11</v>
      </c>
      <c r="C8" s="4">
        <v>418</v>
      </c>
      <c r="D8" s="4">
        <v>70</v>
      </c>
      <c r="E8" s="4">
        <v>1250</v>
      </c>
      <c r="F8" s="5">
        <v>0.1</v>
      </c>
      <c r="G8" s="6"/>
      <c r="H8" s="4">
        <f>F8*I8</f>
        <v>57.14</v>
      </c>
      <c r="I8" s="4">
        <v>571.4</v>
      </c>
    </row>
    <row r="9" spans="1:9">
      <c r="A9" s="7" t="s">
        <v>12</v>
      </c>
      <c r="B9" s="7"/>
      <c r="C9" s="8"/>
      <c r="D9" s="8"/>
      <c r="E9" s="8"/>
      <c r="F9" s="8"/>
      <c r="G9" s="9">
        <f>TRUNC(SUM(D9*E9*F9/1000),2)</f>
        <v>0</v>
      </c>
      <c r="H9" s="8">
        <f>SUM(H3:H8)</f>
        <v>552.44</v>
      </c>
      <c r="I9" s="8">
        <f>SUM(I3:I8)</f>
        <v>5524.4</v>
      </c>
    </row>
    <row r="10" ht="14.25" spans="1:4">
      <c r="A10" s="10" t="s">
        <v>13</v>
      </c>
      <c r="B10" s="10"/>
      <c r="C10" s="10"/>
      <c r="D10" s="10"/>
    </row>
    <row r="11" ht="14.25" spans="1:4">
      <c r="A11" s="11" t="s">
        <v>1</v>
      </c>
      <c r="B11" s="11" t="s">
        <v>14</v>
      </c>
      <c r="C11" s="11" t="s">
        <v>15</v>
      </c>
      <c r="D11" s="11" t="s">
        <v>16</v>
      </c>
    </row>
    <row r="12" ht="14.25" spans="1:4">
      <c r="A12" s="3">
        <v>46036</v>
      </c>
      <c r="B12" s="11" t="s">
        <v>17</v>
      </c>
      <c r="C12" s="11">
        <v>4</v>
      </c>
      <c r="D12" s="11">
        <f>C12*40</f>
        <v>160</v>
      </c>
    </row>
    <row r="13" ht="14.25" spans="1:4">
      <c r="A13" s="3"/>
      <c r="B13" s="11"/>
      <c r="C13" s="11">
        <v>0</v>
      </c>
      <c r="D13" s="12">
        <f>C13*40</f>
        <v>0</v>
      </c>
    </row>
    <row r="14" ht="14.25" spans="1:4">
      <c r="A14" s="3"/>
      <c r="B14" s="11"/>
      <c r="C14" s="11">
        <v>0</v>
      </c>
      <c r="D14" s="12">
        <f>C14*40</f>
        <v>0</v>
      </c>
    </row>
    <row r="15" ht="14.25" spans="1:4">
      <c r="A15" s="3"/>
      <c r="B15" s="11"/>
      <c r="C15" s="11">
        <v>0</v>
      </c>
      <c r="D15" s="12">
        <f>C15*2</f>
        <v>0</v>
      </c>
    </row>
    <row r="16" ht="14.25" spans="1:4">
      <c r="A16" s="3"/>
      <c r="B16" s="11"/>
      <c r="C16" s="13"/>
      <c r="D16" s="11"/>
    </row>
    <row r="17" spans="1:4">
      <c r="A17" s="14" t="s">
        <v>12</v>
      </c>
      <c r="B17" s="14"/>
      <c r="C17" s="4"/>
      <c r="D17" s="13">
        <f>SUM(D12:D16)</f>
        <v>160</v>
      </c>
    </row>
    <row r="19" spans="1:2">
      <c r="A19" s="14" t="s">
        <v>18</v>
      </c>
      <c r="B19" s="14"/>
    </row>
    <row r="20" spans="1:9">
      <c r="A20" s="4" t="s">
        <v>19</v>
      </c>
      <c r="B20" s="4">
        <v>5524.4</v>
      </c>
      <c r="C20" s="14"/>
      <c r="D20" s="14"/>
      <c r="E20" s="14"/>
      <c r="F20" s="14"/>
      <c r="G20" s="14"/>
      <c r="H20" s="14"/>
      <c r="I20" s="14"/>
    </row>
    <row r="21" spans="1:2">
      <c r="A21" s="4" t="s">
        <v>20</v>
      </c>
      <c r="B21" s="4">
        <v>-160</v>
      </c>
    </row>
    <row r="22" spans="1:2">
      <c r="A22" s="4" t="s">
        <v>21</v>
      </c>
      <c r="B22" s="5">
        <v>0</v>
      </c>
    </row>
    <row r="23" spans="1:2">
      <c r="A23" s="4" t="s">
        <v>12</v>
      </c>
      <c r="B23" s="4">
        <f>SUM(B20:B22)</f>
        <v>5364.4</v>
      </c>
    </row>
    <row r="25" spans="1:2">
      <c r="A25" s="4" t="s">
        <v>22</v>
      </c>
      <c r="B25" s="5">
        <v>0</v>
      </c>
    </row>
    <row r="26" spans="1:2">
      <c r="A26" s="4" t="s">
        <v>23</v>
      </c>
      <c r="B26" s="5">
        <v>0</v>
      </c>
    </row>
    <row r="27" spans="1:2">
      <c r="A27" s="4"/>
      <c r="B27" s="5">
        <v>0</v>
      </c>
    </row>
    <row r="28" spans="1:2">
      <c r="A28" s="4"/>
      <c r="B28" s="5">
        <v>0</v>
      </c>
    </row>
    <row r="29" spans="1:2">
      <c r="A29" s="4"/>
      <c r="B29" s="5">
        <v>0</v>
      </c>
    </row>
    <row r="30" spans="1:2">
      <c r="A30" s="4" t="s">
        <v>12</v>
      </c>
      <c r="B30" s="5">
        <f>SUM(B25:B29)</f>
        <v>0</v>
      </c>
    </row>
    <row r="32" ht="20.25" spans="1:9">
      <c r="A32" s="15" t="s">
        <v>24</v>
      </c>
      <c r="B32" s="15"/>
      <c r="C32" s="15"/>
      <c r="D32" s="15"/>
      <c r="E32" s="15"/>
      <c r="F32" s="15"/>
      <c r="G32" s="15"/>
      <c r="H32" s="16">
        <f>B30</f>
        <v>0</v>
      </c>
      <c r="I32" s="16" t="s">
        <v>25</v>
      </c>
    </row>
    <row r="33" ht="20.25" spans="1:9">
      <c r="A33" s="15" t="s">
        <v>26</v>
      </c>
      <c r="B33" s="15"/>
      <c r="C33" s="15"/>
      <c r="D33" s="15"/>
      <c r="E33" s="15"/>
      <c r="F33" s="15"/>
      <c r="G33" s="15"/>
      <c r="H33" s="16">
        <v>0</v>
      </c>
      <c r="I33" s="16"/>
    </row>
  </sheetData>
  <mergeCells count="8">
    <mergeCell ref="A1:I1"/>
    <mergeCell ref="A9:B9"/>
    <mergeCell ref="A10:D10"/>
    <mergeCell ref="A17:B17"/>
    <mergeCell ref="A19:B19"/>
    <mergeCell ref="C20:I20"/>
    <mergeCell ref="A32:G32"/>
    <mergeCell ref="A33:G33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86248</dc:creator>
  <cp:lastModifiedBy>Administrator</cp:lastModifiedBy>
  <dcterms:created xsi:type="dcterms:W3CDTF">2023-08-08T02:50:00Z</dcterms:created>
  <dcterms:modified xsi:type="dcterms:W3CDTF">2026-03-09T13:18:58Z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45D38ED9092E41B79FD7DD9B1AFC9601</vt:lpwstr>
  </property>
  <property fmtid="{D5CDD505-2E9C-101B-9397-08002B2CF9AE}" pid="3" name="KSOProductBuildVer">
    <vt:lpwstr>2052-11.1.0.11194</vt:lpwstr>
  </property>
  <property fmtid="{D5CDD505-2E9C-101B-9397-08002B2CF9AE}" pid="4" name="CalculationRule">
    <vt:i4>0</vt:i4>
  </property>
</Properties>
</file>