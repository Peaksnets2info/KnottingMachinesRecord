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<sst xmlns="http://schemas.openxmlformats.org/spreadsheetml/2006/main" count="38" uniqueCount="28">
  <si>
    <t>胡孝祥2026年1-2月份</t>
  </si>
  <si>
    <t>日期</t>
  </si>
  <si>
    <t>规格</t>
  </si>
  <si>
    <t>条数</t>
  </si>
  <si>
    <t>目数</t>
  </si>
  <si>
    <t>边数</t>
  </si>
  <si>
    <t>加工费</t>
  </si>
  <si>
    <t>价格/条</t>
  </si>
  <si>
    <t>金额/元</t>
  </si>
  <si>
    <t>重量/斤</t>
  </si>
  <si>
    <t>0.36*21*150*450</t>
  </si>
  <si>
    <t>0.36*18.2*150*520</t>
  </si>
  <si>
    <t>0.36*18.4*150*520</t>
  </si>
  <si>
    <t>合计</t>
  </si>
  <si>
    <t>送丝</t>
  </si>
  <si>
    <t>丝径</t>
  </si>
  <si>
    <t>件数</t>
  </si>
  <si>
    <t>重量（斤）</t>
  </si>
  <si>
    <t>大姐丝</t>
  </si>
  <si>
    <t>总结(负号为欠本公司）</t>
  </si>
  <si>
    <t>送网重</t>
  </si>
  <si>
    <t>送丝重</t>
  </si>
  <si>
    <t>上月欠丝</t>
  </si>
  <si>
    <t>上欠加工费</t>
  </si>
  <si>
    <t>本月加工费</t>
  </si>
  <si>
    <t>下欠加工费</t>
  </si>
  <si>
    <t>元</t>
  </si>
  <si>
    <t>下欠公司丝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</si>
</sst>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4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2"/>
      <name val="宋体"/>
      <charset val="134"/>
    </font>
    <font>
      <sz val="11"/>
      <name val="宋体"/>
      <charset val="134"/>
    </font>
    <font>
      <b/>
      <sz val="16"/>
      <color indexed="10"/>
      <name val="宋体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0" fillId="10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28" borderId="9" applyNumberFormat="0" applyFont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13" fillId="20" borderId="8" applyNumberFormat="0" applyAlignment="0" applyProtection="0">
      <alignment vertical="center"/>
    </xf>
    <xf numFmtId="0" fontId="16" fillId="20" borderId="6" applyNumberFormat="0" applyAlignment="0" applyProtection="0">
      <alignment vertical="center"/>
    </xf>
    <xf numFmtId="0" fontId="12" fillId="15" borderId="7" applyNumberFormat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58" fontId="0" fillId="0" borderId="1" xfId="0" applyNumberFormat="1" applyBorder="1">
      <alignment vertical="center"/>
    </xf>
    <xf numFmtId="0" fontId="0" fillId="0" borderId="1" xfId="0" applyBorder="1">
      <alignment vertical="center"/>
    </xf>
    <xf numFmtId="0" fontId="1" fillId="0" borderId="1" xfId="0" applyFont="1" applyBorder="1">
      <alignment vertical="center"/>
    </xf>
    <xf numFmtId="0" fontId="0" fillId="0" borderId="1" xfId="0" applyFont="1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2" xfId="0" applyFont="1" applyBorder="1">
      <alignment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/>
    </xf>
    <xf numFmtId="0" fontId="4" fillId="2" borderId="1" xfId="0" applyNumberFormat="1" applyFont="1" applyFill="1" applyBorder="1" applyAlignment="1" applyProtection="1">
      <alignment horizontal="right" vertical="center"/>
    </xf>
    <xf numFmtId="0" fontId="4" fillId="2" borderId="1" xfId="0" applyNumberFormat="1" applyFont="1" applyFill="1" applyBorder="1" applyAlignment="1" applyProtection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6"/>
  <sheetViews>
    <sheetView tabSelected="1" workbookViewId="0">
      <selection activeCell="A1" sqref="A1:I1"/>
    </sheetView>
  </sheetViews>
  <sheetFormatPr defaultColWidth="8.89166666666667" defaultRowHeight="13.5"/>
  <cols>
    <col min="1" max="1" width="15.625" customWidth="1"/>
    <col min="2" max="2" width="21.3333333333333" customWidth="1"/>
    <col min="4" max="4" width="11.5" customWidth="1"/>
    <col min="8" max="8" width="12.25"/>
  </cols>
  <sheetData>
    <row r="1" spans="1:9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9">
      <c r="A3" s="3">
        <v>39816</v>
      </c>
      <c r="B3" s="4" t="s">
        <v>10</v>
      </c>
      <c r="C3" s="4">
        <v>300</v>
      </c>
      <c r="D3" s="4">
        <v>150</v>
      </c>
      <c r="E3" s="4">
        <v>225</v>
      </c>
      <c r="F3" s="5">
        <v>0.1</v>
      </c>
      <c r="G3" s="6"/>
      <c r="H3" s="4">
        <f>F3*I3</f>
        <v>108.52</v>
      </c>
      <c r="I3" s="4">
        <v>1085.2</v>
      </c>
    </row>
    <row r="4" spans="1:9">
      <c r="A4" s="3">
        <v>39819</v>
      </c>
      <c r="B4" s="4" t="s">
        <v>10</v>
      </c>
      <c r="C4" s="4">
        <v>375</v>
      </c>
      <c r="D4" s="4">
        <v>150</v>
      </c>
      <c r="E4" s="4">
        <v>225</v>
      </c>
      <c r="F4" s="5">
        <v>0.1</v>
      </c>
      <c r="G4" s="6"/>
      <c r="H4" s="4">
        <f t="shared" ref="H4:H24" si="0">F4*I4</f>
        <v>137.24</v>
      </c>
      <c r="I4" s="4">
        <v>1372.4</v>
      </c>
    </row>
    <row r="5" spans="1:9">
      <c r="A5" s="3">
        <v>39821</v>
      </c>
      <c r="B5" s="4" t="s">
        <v>10</v>
      </c>
      <c r="C5" s="4">
        <v>300</v>
      </c>
      <c r="D5" s="4">
        <v>150</v>
      </c>
      <c r="E5" s="4">
        <v>225</v>
      </c>
      <c r="F5" s="5">
        <v>0.1</v>
      </c>
      <c r="G5" s="6"/>
      <c r="H5" s="4">
        <f t="shared" si="0"/>
        <v>109.56</v>
      </c>
      <c r="I5" s="4">
        <v>1095.6</v>
      </c>
    </row>
    <row r="6" spans="1:9">
      <c r="A6" s="3">
        <v>39825</v>
      </c>
      <c r="B6" s="4" t="s">
        <v>10</v>
      </c>
      <c r="C6" s="4">
        <v>445</v>
      </c>
      <c r="D6" s="4">
        <v>150</v>
      </c>
      <c r="E6" s="4">
        <v>225</v>
      </c>
      <c r="F6" s="5">
        <v>0.1</v>
      </c>
      <c r="G6" s="6"/>
      <c r="H6" s="4">
        <f t="shared" si="0"/>
        <v>161.02</v>
      </c>
      <c r="I6" s="4">
        <v>1610.2</v>
      </c>
    </row>
    <row r="7" spans="1:9">
      <c r="A7" s="3">
        <v>39829</v>
      </c>
      <c r="B7" s="4" t="s">
        <v>10</v>
      </c>
      <c r="C7" s="4">
        <v>300</v>
      </c>
      <c r="D7" s="4">
        <v>150</v>
      </c>
      <c r="E7" s="4">
        <v>225</v>
      </c>
      <c r="F7" s="5">
        <v>0.1</v>
      </c>
      <c r="G7" s="6"/>
      <c r="H7" s="4">
        <f t="shared" si="0"/>
        <v>108.46</v>
      </c>
      <c r="I7" s="4">
        <v>1084.6</v>
      </c>
    </row>
    <row r="8" spans="1:9">
      <c r="A8" s="3">
        <v>39836</v>
      </c>
      <c r="B8" s="4" t="s">
        <v>11</v>
      </c>
      <c r="C8" s="4">
        <v>450</v>
      </c>
      <c r="D8" s="4">
        <v>150</v>
      </c>
      <c r="E8" s="4">
        <v>260</v>
      </c>
      <c r="F8" s="5">
        <v>0.1</v>
      </c>
      <c r="G8" s="6"/>
      <c r="H8" s="4">
        <f t="shared" si="0"/>
        <v>168.18</v>
      </c>
      <c r="I8" s="4">
        <v>1681.8</v>
      </c>
    </row>
    <row r="9" spans="1:9">
      <c r="A9" s="3">
        <v>39840</v>
      </c>
      <c r="B9" s="4" t="s">
        <v>12</v>
      </c>
      <c r="C9" s="4">
        <v>290</v>
      </c>
      <c r="D9" s="4">
        <v>150</v>
      </c>
      <c r="E9" s="4">
        <v>260</v>
      </c>
      <c r="F9" s="5">
        <v>0.1</v>
      </c>
      <c r="G9" s="6"/>
      <c r="H9" s="4">
        <f t="shared" si="0"/>
        <v>109.44</v>
      </c>
      <c r="I9" s="4">
        <v>1094.4</v>
      </c>
    </row>
    <row r="10" spans="1:9">
      <c r="A10" s="3">
        <v>39844</v>
      </c>
      <c r="B10" s="4" t="s">
        <v>12</v>
      </c>
      <c r="C10" s="4">
        <v>355</v>
      </c>
      <c r="D10" s="4">
        <v>150</v>
      </c>
      <c r="E10" s="4">
        <v>260</v>
      </c>
      <c r="F10" s="5">
        <v>0.1</v>
      </c>
      <c r="G10" s="6"/>
      <c r="H10" s="4">
        <f t="shared" si="0"/>
        <v>131.26</v>
      </c>
      <c r="I10" s="4">
        <v>1312.6</v>
      </c>
    </row>
    <row r="11" spans="1:9">
      <c r="A11" s="3">
        <v>39847</v>
      </c>
      <c r="B11" s="4" t="s">
        <v>12</v>
      </c>
      <c r="C11" s="4">
        <v>280</v>
      </c>
      <c r="D11" s="4">
        <v>150</v>
      </c>
      <c r="E11" s="4">
        <v>260</v>
      </c>
      <c r="F11" s="5">
        <v>0.1</v>
      </c>
      <c r="G11" s="6"/>
      <c r="H11" s="4">
        <f t="shared" si="0"/>
        <v>103.64</v>
      </c>
      <c r="I11" s="4">
        <v>1036.4</v>
      </c>
    </row>
    <row r="12" spans="1:9">
      <c r="A12" s="7" t="s">
        <v>13</v>
      </c>
      <c r="B12" s="7"/>
      <c r="C12" s="8"/>
      <c r="D12" s="8"/>
      <c r="E12" s="8"/>
      <c r="F12" s="8"/>
      <c r="G12" s="9">
        <f>TRUNC(SUM(D12*E12*F12/1000),2)</f>
        <v>0</v>
      </c>
      <c r="H12" s="8">
        <f>SUM(H3:H11)</f>
        <v>1137.32</v>
      </c>
      <c r="I12" s="8">
        <f>SUM(I3:I11)</f>
        <v>11373.2</v>
      </c>
    </row>
    <row r="13" ht="14.25" spans="1:4">
      <c r="A13" s="10" t="s">
        <v>14</v>
      </c>
      <c r="B13" s="10"/>
      <c r="C13" s="10"/>
      <c r="D13" s="10"/>
    </row>
    <row r="14" ht="14.25" spans="1:4">
      <c r="A14" s="11" t="s">
        <v>1</v>
      </c>
      <c r="B14" s="11" t="s">
        <v>15</v>
      </c>
      <c r="C14" s="11" t="s">
        <v>16</v>
      </c>
      <c r="D14" s="11" t="s">
        <v>17</v>
      </c>
    </row>
    <row r="15" ht="14.25" spans="1:4">
      <c r="A15" s="3"/>
      <c r="B15" s="11"/>
      <c r="C15" s="11">
        <v>0</v>
      </c>
      <c r="D15" s="11">
        <f>C15*40</f>
        <v>0</v>
      </c>
    </row>
    <row r="16" ht="14.25" spans="1:4">
      <c r="A16" s="3"/>
      <c r="B16" s="11"/>
      <c r="C16" s="11">
        <v>0</v>
      </c>
      <c r="D16" s="11">
        <f>C16*40</f>
        <v>0</v>
      </c>
    </row>
    <row r="17" ht="14.25" spans="1:4">
      <c r="A17" s="3"/>
      <c r="B17" s="11"/>
      <c r="C17" s="11">
        <v>0</v>
      </c>
      <c r="D17" s="11">
        <f>C17*40</f>
        <v>0</v>
      </c>
    </row>
    <row r="18" ht="14.25" spans="1:4">
      <c r="A18" s="3" t="s">
        <v>18</v>
      </c>
      <c r="B18" s="11"/>
      <c r="C18" s="11">
        <v>0</v>
      </c>
      <c r="D18" s="11">
        <f>C18*2</f>
        <v>0</v>
      </c>
    </row>
    <row r="19" ht="14.25" spans="1:4">
      <c r="A19" s="3"/>
      <c r="B19" s="11"/>
      <c r="C19" s="12"/>
      <c r="D19" s="11"/>
    </row>
    <row r="20" spans="1:4">
      <c r="A20" s="13" t="s">
        <v>13</v>
      </c>
      <c r="B20" s="13"/>
      <c r="C20" s="4"/>
      <c r="D20" s="12">
        <f>SUM(D15:D19)</f>
        <v>0</v>
      </c>
    </row>
    <row r="22" spans="1:2">
      <c r="A22" s="13" t="s">
        <v>19</v>
      </c>
      <c r="B22" s="13"/>
    </row>
    <row r="23" spans="1:9">
      <c r="A23" s="14" t="s">
        <v>20</v>
      </c>
      <c r="B23" s="14">
        <v>11657.53</v>
      </c>
      <c r="C23" s="15"/>
      <c r="D23" s="15"/>
      <c r="E23" s="15"/>
      <c r="F23" s="15"/>
      <c r="G23" s="15"/>
      <c r="H23" s="15"/>
      <c r="I23" s="15"/>
    </row>
    <row r="24" spans="1:2">
      <c r="A24" s="4" t="s">
        <v>21</v>
      </c>
      <c r="B24" s="4">
        <v>0</v>
      </c>
    </row>
    <row r="25" spans="1:2">
      <c r="A25" s="4" t="s">
        <v>22</v>
      </c>
      <c r="B25" s="4">
        <v>0</v>
      </c>
    </row>
    <row r="26" spans="1:2">
      <c r="A26" s="4" t="s">
        <v>13</v>
      </c>
      <c r="B26" s="4">
        <f>SUM(B23:B25)</f>
        <v>11657.53</v>
      </c>
    </row>
    <row r="28" spans="1:2">
      <c r="A28" s="4" t="s">
        <v>23</v>
      </c>
      <c r="B28" s="4">
        <v>0</v>
      </c>
    </row>
    <row r="29" spans="1:2">
      <c r="A29" s="4" t="s">
        <v>24</v>
      </c>
      <c r="B29" s="4">
        <v>0</v>
      </c>
    </row>
    <row r="30" spans="1:2">
      <c r="A30" s="4"/>
      <c r="B30" s="4">
        <v>0</v>
      </c>
    </row>
    <row r="31" spans="1:2">
      <c r="A31" s="4"/>
      <c r="B31" s="4">
        <v>0</v>
      </c>
    </row>
    <row r="32" spans="1:2">
      <c r="A32" s="4"/>
      <c r="B32" s="4">
        <v>0</v>
      </c>
    </row>
    <row r="33" spans="1:2">
      <c r="A33" s="4" t="s">
        <v>13</v>
      </c>
      <c r="B33" s="4">
        <f>SUM(B28:B32)</f>
        <v>0</v>
      </c>
    </row>
    <row r="35" ht="20.25" spans="1:9">
      <c r="A35" s="16" t="s">
        <v>25</v>
      </c>
      <c r="B35" s="16"/>
      <c r="C35" s="16"/>
      <c r="D35" s="16"/>
      <c r="E35" s="16"/>
      <c r="F35" s="16"/>
      <c r="G35" s="16"/>
      <c r="H35" s="17">
        <f>B33</f>
        <v>0</v>
      </c>
      <c r="I35" s="17" t="s">
        <v>26</v>
      </c>
    </row>
    <row r="36" ht="20.25" spans="1:9">
      <c r="A36" s="16" t="s">
        <v>27</v>
      </c>
      <c r="B36" s="16"/>
      <c r="C36" s="16"/>
      <c r="D36" s="16"/>
      <c r="E36" s="16"/>
      <c r="F36" s="16"/>
      <c r="G36" s="16"/>
      <c r="H36" s="17">
        <v>0</v>
      </c>
      <c r="I36" s="17"/>
    </row>
  </sheetData>
  <mergeCells count="7">
    <mergeCell ref="A1:I1"/>
    <mergeCell ref="A12:B12"/>
    <mergeCell ref="A13:D13"/>
    <mergeCell ref="A20:B20"/>
    <mergeCell ref="A22:B22"/>
    <mergeCell ref="A35:G35"/>
    <mergeCell ref="A36:G36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86248</dc:creator>
  <cp:lastModifiedBy>Administrator</cp:lastModifiedBy>
  <dcterms:created xsi:type="dcterms:W3CDTF">2023-08-08T02:50:00Z</dcterms:created>
  <dcterms:modified xsi:type="dcterms:W3CDTF">2008-12-31T17:35:21Z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8CF512797CBF4B84A0AF839AC2E2E2EE</vt:lpwstr>
  </property>
  <property fmtid="{D5CDD505-2E9C-101B-9397-08002B2CF9AE}" pid="3" name="KSOProductBuildVer">
    <vt:lpwstr>2052-11.1.0.11194</vt:lpwstr>
  </property>
  <property fmtid="{D5CDD505-2E9C-101B-9397-08002B2CF9AE}" pid="4" name="CalculationRule">
    <vt:i4>0</vt:i4>
  </property>
</Properties>
</file>