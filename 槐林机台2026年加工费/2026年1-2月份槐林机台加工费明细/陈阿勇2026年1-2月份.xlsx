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</sheets>
  <definedNames>
    <definedName name="_xlnm._FilterDatabase" localSheetId="0" hidden="1">Sheet1!$A$1:$M$41</definedName>
  </definedNames>
  <calcPr calcId="144525"/>
</workbook>
</file>

<file path=xl/sharedStrings.xml><?xml version="1.0" encoding="utf-8"?>
<sst xmlns="http://schemas.openxmlformats.org/spreadsheetml/2006/main" count="89" uniqueCount="42">
  <si>
    <t>陈阿勇2026年1-2月份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</si>
  <si>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</si>
  <si>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</si>
  <si>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</si>
  <si>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</si>
  <si>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</si>
  <si>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</si>
  <si>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</si>
  <si>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</si>
  <si>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</si>
  <si>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0.20*15.5*50*2400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</si>
  <si>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</si>
  <si>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</si>
  <si>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</si>
  <si>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</si>
  <si>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</si>
  <si>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</si>
  <si>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</si>
  <si>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</si>
  <si>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</si>
  <si>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</si>
  <si>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</si>
  <si>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</si>
  <si>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</si>
  <si>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</si>
  <si>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</si>
  <si>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</si>
  <si>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</si>
  <si>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</si>
  <si>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</si>
  <si>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</si>
  <si>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</si>
  <si>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</si>
  <si>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</si>
  <si>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</si>
  <si>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</si>
  <si>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</si>
  <si>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</si>
  <si>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</si>
  <si>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</si>
  <si>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上月欠丝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</si>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</sst>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9" fillId="19" borderId="10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39817</v>
      </c>
      <c r="B3" s="3" t="s">
        <v>10</v>
      </c>
      <c r="C3" s="3">
        <v>476</v>
      </c>
      <c r="D3" s="3">
        <v>50</v>
      </c>
      <c r="E3" s="3">
        <v>1200</v>
      </c>
      <c r="F3" s="25">
        <v>0.1</v>
      </c>
      <c r="G3" s="3">
        <f>TRUNC(SUM(D3*E3*F3/1000),2)</f>
        <v>6</v>
      </c>
      <c r="H3" s="3">
        <f>G3*C3</f>
        <v>2856</v>
      </c>
      <c r="I3" s="21">
        <v>643.8</v>
      </c>
    </row>
    <row r="4" spans="1:9">
      <c r="A4" s="26">
        <v>39821</v>
      </c>
      <c r="B4" s="3" t="s">
        <v>10</v>
      </c>
      <c r="C4" s="3">
        <v>476</v>
      </c>
      <c r="D4" s="3">
        <v>50</v>
      </c>
      <c r="E4" s="3">
        <v>1200</v>
      </c>
      <c r="F4" s="25">
        <v>0.1</v>
      </c>
      <c r="G4" s="3">
        <f>TRUNC(SUM(D4*E4*F4/1000),2)</f>
        <v>6</v>
      </c>
      <c r="H4" s="3">
        <f>G4*C4</f>
        <v>2856</v>
      </c>
      <c r="I4" s="29">
        <v>661.8</v>
      </c>
    </row>
    <row r="5" spans="1:9">
      <c r="A5" s="5">
        <v>39825</v>
      </c>
      <c r="B5" s="3" t="s">
        <v>10</v>
      </c>
      <c r="C5" s="3">
        <v>468</v>
      </c>
      <c r="D5" s="3">
        <v>50</v>
      </c>
      <c r="E5" s="3">
        <v>1200</v>
      </c>
      <c r="F5" s="25">
        <v>0.1</v>
      </c>
      <c r="G5" s="3">
        <f>TRUNC(SUM(D5*E5*F5/1000),2)</f>
        <v>6</v>
      </c>
      <c r="H5" s="3">
        <f>G5*C5</f>
        <v>2808</v>
      </c>
      <c r="I5" s="21">
        <v>658.7</v>
      </c>
    </row>
    <row r="6" spans="1:9">
      <c r="A6" s="27">
        <v>39829</v>
      </c>
      <c r="B6" s="3" t="s">
        <v>10</v>
      </c>
      <c r="C6" s="3">
        <v>476</v>
      </c>
      <c r="D6" s="3">
        <v>50</v>
      </c>
      <c r="E6" s="3">
        <v>1200</v>
      </c>
      <c r="F6" s="25">
        <v>0.1</v>
      </c>
      <c r="G6" s="3">
        <f>TRUNC(SUM(D6*E6*F6/1000),2)</f>
        <v>6</v>
      </c>
      <c r="H6" s="3">
        <f>G6*C6</f>
        <v>2856</v>
      </c>
      <c r="I6" s="30">
        <v>674.4</v>
      </c>
    </row>
    <row r="7" spans="1:9">
      <c r="A7" s="5">
        <v>39834</v>
      </c>
      <c r="B7" s="3" t="s">
        <v>10</v>
      </c>
      <c r="C7" s="3">
        <v>476</v>
      </c>
      <c r="D7" s="3">
        <v>50</v>
      </c>
      <c r="E7" s="3">
        <v>1200</v>
      </c>
      <c r="F7" s="25">
        <v>0.1</v>
      </c>
      <c r="G7" s="3">
        <f>TRUNC(SUM(D7*E7*F7/1000),2)</f>
        <v>6</v>
      </c>
      <c r="H7" s="3">
        <f>G7*C7</f>
        <v>2856</v>
      </c>
      <c r="I7" s="21">
        <v>682.2</v>
      </c>
    </row>
    <row r="8" spans="1:9">
      <c r="A8" s="27">
        <v>39841</v>
      </c>
      <c r="B8" s="3" t="s">
        <v>10</v>
      </c>
      <c r="C8" s="3">
        <v>595</v>
      </c>
      <c r="D8" s="3">
        <v>50</v>
      </c>
      <c r="E8" s="3">
        <v>1200</v>
      </c>
      <c r="F8" s="25">
        <v>0.1</v>
      </c>
      <c r="G8" s="3">
        <f>TRUNC(SUM(D8*E8*F8/1000),2)</f>
        <v>6</v>
      </c>
      <c r="H8" s="3">
        <f>G8*C8</f>
        <v>3570</v>
      </c>
      <c r="I8" s="29">
        <v>869.4</v>
      </c>
    </row>
    <row r="9" spans="1:9">
      <c r="A9" s="28"/>
      <c r="B9" s="13" t="s">
        <v>11</v>
      </c>
      <c r="C9" s="13">
        <f>SUM(C3:C8)</f>
        <v>2967</v>
      </c>
      <c r="D9" s="13"/>
      <c r="E9" s="3"/>
      <c r="F9" s="3"/>
      <c r="G9" s="3"/>
      <c r="H9" s="3">
        <f>SUM(H3:H8)</f>
        <v>17802</v>
      </c>
      <c r="I9" s="22">
        <f>SUM(I3:I8)</f>
        <v>4190.3</v>
      </c>
    </row>
    <row r="10" spans="1:9">
      <c r="A10" s="12"/>
      <c r="B10" s="13"/>
      <c r="C10" s="13"/>
      <c r="D10" s="13"/>
      <c r="I10" s="24"/>
    </row>
    <row r="11" ht="14.25" spans="1:4">
      <c r="A11" s="14" t="s">
        <v>12</v>
      </c>
      <c r="B11" s="14"/>
      <c r="C11" s="14"/>
      <c r="D11" s="14"/>
    </row>
    <row r="12" ht="14.25" spans="1:4">
      <c r="A12" s="15" t="s">
        <v>1</v>
      </c>
      <c r="B12" s="15" t="s">
        <v>13</v>
      </c>
      <c r="C12" s="15" t="s">
        <v>14</v>
      </c>
      <c r="D12" s="15" t="s">
        <v>15</v>
      </c>
    </row>
    <row r="13" ht="14.25" spans="1:4">
      <c r="A13" s="15"/>
      <c r="B13" s="15"/>
      <c r="C13" s="15">
        <v>0</v>
      </c>
      <c r="D13" s="15">
        <v>0</v>
      </c>
    </row>
    <row r="14" spans="1:13">
      <c r="A14" s="16"/>
      <c r="B14" s="3"/>
      <c r="C14" s="3">
        <v>0</v>
      </c>
      <c r="D14" s="3">
        <v>0</v>
      </c>
      <c r="M14" s="23"/>
    </row>
    <row r="15" spans="1:4">
      <c r="A15" s="16"/>
      <c r="B15" s="3"/>
      <c r="C15" s="3">
        <v>0</v>
      </c>
      <c r="D15" s="3">
        <v>0</v>
      </c>
    </row>
    <row r="16" spans="1:4">
      <c r="A16" s="16"/>
      <c r="B16" s="3"/>
      <c r="C16" s="3">
        <v>0</v>
      </c>
      <c r="D16" s="3">
        <v>0</v>
      </c>
    </row>
    <row r="17" spans="1:4">
      <c r="A17" s="16"/>
      <c r="B17" s="3"/>
      <c r="C17" s="3">
        <v>0</v>
      </c>
      <c r="D17" s="3">
        <f>C17*40</f>
        <v>0</v>
      </c>
    </row>
    <row r="18" spans="1:4">
      <c r="A18" s="16"/>
      <c r="B18" s="3"/>
      <c r="C18" s="3">
        <v>0</v>
      </c>
      <c r="D18" s="3">
        <f t="shared" ref="D18:D23" si="0">C18*40</f>
        <v>0</v>
      </c>
    </row>
    <row r="19" spans="1:4">
      <c r="A19" s="16"/>
      <c r="B19" s="3"/>
      <c r="C19" s="3">
        <v>0</v>
      </c>
      <c r="D19" s="3">
        <f t="shared" si="0"/>
        <v>0</v>
      </c>
    </row>
    <row r="20" spans="1:4">
      <c r="A20" s="16"/>
      <c r="B20" s="3"/>
      <c r="C20" s="3">
        <v>0</v>
      </c>
      <c r="D20" s="3">
        <f t="shared" si="0"/>
        <v>0</v>
      </c>
    </row>
    <row r="21" spans="1:4">
      <c r="A21" s="16"/>
      <c r="B21" s="3"/>
      <c r="C21" s="3">
        <v>0</v>
      </c>
      <c r="D21" s="3">
        <f t="shared" si="0"/>
        <v>0</v>
      </c>
    </row>
    <row r="22" spans="1:4">
      <c r="A22" s="16"/>
      <c r="B22" s="3"/>
      <c r="C22" s="3">
        <v>0</v>
      </c>
      <c r="D22" s="3">
        <f t="shared" si="0"/>
        <v>0</v>
      </c>
    </row>
    <row r="23" spans="1:4">
      <c r="A23" s="16"/>
      <c r="B23" s="3"/>
      <c r="C23" s="3">
        <v>0</v>
      </c>
      <c r="D23" s="3">
        <f t="shared" si="0"/>
        <v>0</v>
      </c>
    </row>
    <row r="24" spans="1:4">
      <c r="A24" s="16"/>
      <c r="B24" s="3"/>
      <c r="C24" s="3">
        <v>0</v>
      </c>
      <c r="D24" s="3">
        <v>0</v>
      </c>
    </row>
    <row r="25" spans="1:4">
      <c r="A25" s="17" t="s">
        <v>11</v>
      </c>
      <c r="B25" s="17"/>
      <c r="C25" s="3">
        <f>SUM(C17:C23)</f>
        <v>0</v>
      </c>
      <c r="D25" s="3">
        <f>SUM(D13:D24)</f>
        <v>0</v>
      </c>
    </row>
    <row r="27" spans="1:2">
      <c r="A27" s="17" t="s">
        <v>16</v>
      </c>
      <c r="B27" s="17"/>
    </row>
    <row r="28" spans="1:2">
      <c r="A28" s="3" t="s">
        <v>17</v>
      </c>
      <c r="B28" s="3">
        <f>I9*1.025</f>
        <v>4295.0575</v>
      </c>
    </row>
    <row r="29" spans="1:2">
      <c r="A29" s="3" t="s">
        <v>18</v>
      </c>
      <c r="B29" s="3">
        <v>0</v>
      </c>
    </row>
    <row r="30" spans="1:2">
      <c r="A30" s="3"/>
      <c r="B30" s="3">
        <v>0</v>
      </c>
    </row>
    <row r="31" spans="1:2">
      <c r="A31" s="3" t="s">
        <v>11</v>
      </c>
      <c r="B31" s="3">
        <f>SUM(B28:B30)</f>
        <v>4295.0575</v>
      </c>
    </row>
    <row r="33" spans="1:2">
      <c r="A33" s="3" t="s">
        <v>19</v>
      </c>
      <c r="B33" s="3">
        <v>0</v>
      </c>
    </row>
    <row r="34" spans="1:2">
      <c r="A34" s="3" t="s">
        <v>20</v>
      </c>
      <c r="B34" s="3">
        <v>0</v>
      </c>
    </row>
    <row r="35" spans="1:2">
      <c r="A35" s="3"/>
      <c r="B35" s="3">
        <v>0</v>
      </c>
    </row>
    <row r="36" spans="1:2">
      <c r="A36" s="16"/>
      <c r="B36" s="3">
        <v>0</v>
      </c>
    </row>
    <row r="37" spans="1:2">
      <c r="A37" s="3" t="s">
        <v>11</v>
      </c>
      <c r="B37" s="3">
        <f>SUM(B33:B36)</f>
        <v>0</v>
      </c>
    </row>
    <row r="39" ht="20.25" spans="1:9">
      <c r="A39" s="18" t="s">
        <v>21</v>
      </c>
      <c r="B39" s="18"/>
      <c r="C39" s="18"/>
      <c r="D39" s="18"/>
      <c r="E39" s="18"/>
      <c r="F39" s="18"/>
      <c r="G39" s="18"/>
      <c r="H39" s="19">
        <f>B37</f>
        <v>0</v>
      </c>
      <c r="I39" s="19" t="s">
        <v>22</v>
      </c>
    </row>
    <row r="40" ht="20.25" spans="1:9">
      <c r="A40" s="18" t="s">
        <v>23</v>
      </c>
      <c r="B40" s="18"/>
      <c r="C40" s="18"/>
      <c r="D40" s="18"/>
      <c r="E40" s="18"/>
      <c r="F40" s="18"/>
      <c r="G40" s="18"/>
      <c r="H40" s="19">
        <v>0</v>
      </c>
      <c r="I40" s="19" t="s">
        <v>24</v>
      </c>
    </row>
  </sheetData>
  <mergeCells count="6">
    <mergeCell ref="A1:I1"/>
    <mergeCell ref="A11:D11"/>
    <mergeCell ref="A25:B25"/>
    <mergeCell ref="A27:B27"/>
    <mergeCell ref="A39:G39"/>
    <mergeCell ref="A40:G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26</v>
      </c>
      <c r="B3" s="3" t="s">
        <v>27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28</v>
      </c>
      <c r="B4" s="3" t="s">
        <v>29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30</v>
      </c>
      <c r="B5" s="3" t="s">
        <v>29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31</v>
      </c>
      <c r="B6" s="3" t="s">
        <v>29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32</v>
      </c>
      <c r="B7" s="3" t="s">
        <v>27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33</v>
      </c>
      <c r="B8" s="3" t="s">
        <v>27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34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35</v>
      </c>
      <c r="B13" s="3" t="s">
        <v>36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37</v>
      </c>
    </row>
    <row r="14" spans="1:9">
      <c r="A14" s="11"/>
      <c r="B14" s="3" t="s">
        <v>38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39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18</v>
      </c>
      <c r="B25" s="3">
        <v>-3539.6</v>
      </c>
    </row>
    <row r="26" spans="1:2">
      <c r="A26" s="3" t="s">
        <v>40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19</v>
      </c>
      <c r="B29" s="3">
        <v>68537</v>
      </c>
    </row>
    <row r="30" spans="1:2">
      <c r="A30" s="3" t="s">
        <v>20</v>
      </c>
      <c r="B30" s="3">
        <v>13837</v>
      </c>
    </row>
    <row r="31" spans="1:2">
      <c r="A31" s="16" t="s">
        <v>41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21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22</v>
      </c>
    </row>
    <row r="35" ht="20.25" spans="1:9">
      <c r="A35" s="18" t="s">
        <v>23</v>
      </c>
      <c r="B35" s="18"/>
      <c r="C35" s="18"/>
      <c r="D35" s="18"/>
      <c r="E35" s="18"/>
      <c r="F35" s="18"/>
      <c r="G35" s="18"/>
      <c r="H35" s="19">
        <v>687.4</v>
      </c>
      <c r="I35" s="19" t="s">
        <v>24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2009-01-01T00:17:58Z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547B695406594BAEB5E2E54C028634D9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