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<sst xmlns="http://schemas.openxmlformats.org/spreadsheetml/2006/main" count="39" uniqueCount="29">
  <si>
    <t>胡兵2026年1-2月份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</si>
  <si>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</si>
  <si>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</si>
  <si>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</si>
  <si>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</si>
  <si>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</si>
  <si>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</si>
  <si>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</si>
  <si>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</si>
  <si>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</si>
  <si>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0.28*9.2*70*1440</t>
  </si>
  <si>
    <t>0.28*11.8*70*1120</t>
  </si>
  <si>
    <t>2月4</t>
  </si>
  <si>
    <t>合计</t>
  </si>
  <si>
    <t>兵</t>
  </si>
  <si>
    <t>送丝</t>
  </si>
  <si>
    <t>丝径</t>
  </si>
  <si>
    <t>件数</t>
  </si>
  <si>
    <t>重量（斤）</t>
  </si>
  <si>
    <t>大姐丝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</si>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</sst>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22" fillId="23" borderId="1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2" xfId="0" applyBorder="1">
      <alignment vertical="center"/>
    </xf>
    <xf numFmtId="58" fontId="0" fillId="0" borderId="3" xfId="0" applyNumberFormat="1" applyBorder="1">
      <alignment vertical="center"/>
    </xf>
    <xf numFmtId="58" fontId="0" fillId="0" borderId="1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Font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N17" sqref="N17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46028</v>
      </c>
      <c r="B3" s="4" t="s">
        <v>10</v>
      </c>
      <c r="C3" s="4">
        <v>792</v>
      </c>
      <c r="D3" s="4">
        <v>70</v>
      </c>
      <c r="E3" s="4">
        <v>720</v>
      </c>
      <c r="F3" s="5">
        <v>0.1</v>
      </c>
      <c r="G3" s="6"/>
      <c r="H3" s="4">
        <f>F3*I3</f>
        <v>107.28</v>
      </c>
      <c r="I3" s="4">
        <v>1072.8</v>
      </c>
    </row>
    <row r="4" spans="1:9">
      <c r="A4" s="3">
        <v>46033</v>
      </c>
      <c r="B4" s="4" t="s">
        <v>10</v>
      </c>
      <c r="C4" s="4">
        <v>990</v>
      </c>
      <c r="D4" s="4">
        <v>70</v>
      </c>
      <c r="E4" s="4">
        <v>720</v>
      </c>
      <c r="F4" s="5">
        <v>0.1</v>
      </c>
      <c r="G4" s="6"/>
      <c r="H4" s="4">
        <f>F4*I4</f>
        <v>132.74</v>
      </c>
      <c r="I4" s="4">
        <v>1327.4</v>
      </c>
    </row>
    <row r="5" spans="1:9">
      <c r="A5" s="3">
        <v>46040</v>
      </c>
      <c r="B5" s="4" t="s">
        <v>10</v>
      </c>
      <c r="C5" s="4">
        <v>792</v>
      </c>
      <c r="D5" s="4">
        <v>70</v>
      </c>
      <c r="E5" s="4">
        <v>720</v>
      </c>
      <c r="F5" s="5">
        <v>0.1</v>
      </c>
      <c r="G5" s="6"/>
      <c r="H5" s="4">
        <f>F5*I5</f>
        <v>107.18</v>
      </c>
      <c r="I5" s="4">
        <v>1071.8</v>
      </c>
    </row>
    <row r="6" spans="1:9">
      <c r="A6" s="3">
        <v>46045</v>
      </c>
      <c r="B6" s="4" t="s">
        <v>11</v>
      </c>
      <c r="C6" s="4">
        <v>990</v>
      </c>
      <c r="D6" s="4">
        <v>70</v>
      </c>
      <c r="E6" s="4">
        <v>560</v>
      </c>
      <c r="F6" s="5">
        <v>0.1</v>
      </c>
      <c r="G6" s="6"/>
      <c r="H6" s="4">
        <f>F6*I6</f>
        <v>130.44</v>
      </c>
      <c r="I6" s="4">
        <v>1304.4</v>
      </c>
    </row>
    <row r="7" spans="1:9">
      <c r="A7" s="7">
        <v>46049</v>
      </c>
      <c r="B7" s="8" t="s">
        <v>11</v>
      </c>
      <c r="C7" s="4">
        <v>792</v>
      </c>
      <c r="D7" s="4">
        <v>70</v>
      </c>
      <c r="E7" s="4">
        <v>560</v>
      </c>
      <c r="F7" s="5">
        <v>0.1</v>
      </c>
      <c r="G7" s="6"/>
      <c r="H7" s="4">
        <f>F7*I7</f>
        <v>102.48</v>
      </c>
      <c r="I7" s="4">
        <v>1024.8</v>
      </c>
    </row>
    <row r="8" spans="1:9">
      <c r="A8" s="9"/>
      <c r="B8" s="8" t="s">
        <v>10</v>
      </c>
      <c r="C8" s="4">
        <v>33</v>
      </c>
      <c r="D8" s="4">
        <v>70</v>
      </c>
      <c r="E8" s="4">
        <v>720</v>
      </c>
      <c r="F8" s="5">
        <v>0.1</v>
      </c>
      <c r="G8" s="6"/>
      <c r="H8" s="4">
        <f>F8*I8</f>
        <v>4.12</v>
      </c>
      <c r="I8" s="4">
        <v>41.2</v>
      </c>
    </row>
    <row r="9" spans="1:9">
      <c r="A9" s="3">
        <v>46053</v>
      </c>
      <c r="B9" s="4" t="s">
        <v>11</v>
      </c>
      <c r="C9" s="4">
        <v>1023</v>
      </c>
      <c r="D9" s="4">
        <v>70</v>
      </c>
      <c r="E9" s="4">
        <v>560</v>
      </c>
      <c r="F9" s="5">
        <v>0.1</v>
      </c>
      <c r="G9" s="6"/>
      <c r="H9" s="4">
        <f>F9*I9</f>
        <v>133.42</v>
      </c>
      <c r="I9" s="4">
        <v>1334.2</v>
      </c>
    </row>
    <row r="10" spans="1:9">
      <c r="A10" s="10" t="s">
        <v>12</v>
      </c>
      <c r="B10" s="4" t="s">
        <v>11</v>
      </c>
      <c r="C10" s="4">
        <v>836</v>
      </c>
      <c r="D10" s="4">
        <v>70</v>
      </c>
      <c r="E10" s="4">
        <v>560</v>
      </c>
      <c r="F10" s="5">
        <v>0.1</v>
      </c>
      <c r="G10" s="6"/>
      <c r="H10" s="4">
        <f>F10*I10</f>
        <v>108.42</v>
      </c>
      <c r="I10" s="4">
        <v>1084.2</v>
      </c>
    </row>
    <row r="11" spans="1:11">
      <c r="A11" s="11" t="s">
        <v>13</v>
      </c>
      <c r="B11" s="11"/>
      <c r="C11" s="12"/>
      <c r="D11" s="12"/>
      <c r="E11" s="12"/>
      <c r="F11" s="12"/>
      <c r="G11" s="13">
        <f>TRUNC(SUM(D11*E11*F11/1000),2)</f>
        <v>0</v>
      </c>
      <c r="H11" s="12">
        <f>SUM(H3:H10)</f>
        <v>826.08</v>
      </c>
      <c r="I11" s="12">
        <f>SUM(I3:I10)</f>
        <v>8260.8</v>
      </c>
      <c r="K11" t="s">
        <v>14</v>
      </c>
    </row>
    <row r="12" ht="14.25" spans="1:4">
      <c r="A12" s="14" t="s">
        <v>15</v>
      </c>
      <c r="B12" s="14"/>
      <c r="C12" s="14"/>
      <c r="D12" s="14"/>
    </row>
    <row r="13" ht="14.25" spans="1:4">
      <c r="A13" s="15" t="s">
        <v>1</v>
      </c>
      <c r="B13" s="15" t="s">
        <v>16</v>
      </c>
      <c r="C13" s="15" t="s">
        <v>17</v>
      </c>
      <c r="D13" s="15" t="s">
        <v>18</v>
      </c>
    </row>
    <row r="14" ht="14.25" spans="1:4">
      <c r="A14" s="3"/>
      <c r="B14" s="15"/>
      <c r="C14" s="15">
        <v>0</v>
      </c>
      <c r="D14" s="15">
        <f>C14*40</f>
        <v>0</v>
      </c>
    </row>
    <row r="15" ht="14.25" spans="1:4">
      <c r="A15" s="3"/>
      <c r="B15" s="15"/>
      <c r="C15" s="15">
        <v>0</v>
      </c>
      <c r="D15" s="15">
        <f>C15*40</f>
        <v>0</v>
      </c>
    </row>
    <row r="16" ht="14.25" spans="1:4">
      <c r="A16" s="3"/>
      <c r="B16" s="15"/>
      <c r="C16" s="15">
        <v>0</v>
      </c>
      <c r="D16" s="15">
        <f>C16*40</f>
        <v>0</v>
      </c>
    </row>
    <row r="17" ht="14.25" spans="1:4">
      <c r="A17" s="3" t="s">
        <v>19</v>
      </c>
      <c r="B17" s="15"/>
      <c r="C17" s="15">
        <v>0</v>
      </c>
      <c r="D17" s="15">
        <f>C17*2</f>
        <v>0</v>
      </c>
    </row>
    <row r="18" ht="14.25" spans="1:4">
      <c r="A18" s="3"/>
      <c r="B18" s="15"/>
      <c r="C18" s="16"/>
      <c r="D18" s="15"/>
    </row>
    <row r="19" spans="1:4">
      <c r="A19" s="17" t="s">
        <v>13</v>
      </c>
      <c r="B19" s="17"/>
      <c r="C19" s="4"/>
      <c r="D19" s="16">
        <f>SUM(D14:D18)</f>
        <v>0</v>
      </c>
    </row>
    <row r="21" spans="1:2">
      <c r="A21" s="17" t="s">
        <v>20</v>
      </c>
      <c r="B21" s="17"/>
    </row>
    <row r="22" spans="1:9">
      <c r="A22" s="18" t="s">
        <v>21</v>
      </c>
      <c r="B22" s="18">
        <v>8260.8</v>
      </c>
      <c r="C22" s="18"/>
      <c r="D22" s="18"/>
      <c r="E22" s="18"/>
      <c r="F22" s="18"/>
      <c r="G22" s="18"/>
      <c r="H22" s="18"/>
      <c r="I22" s="18"/>
    </row>
    <row r="23" spans="1:2">
      <c r="A23" s="4" t="s">
        <v>22</v>
      </c>
      <c r="B23" s="4">
        <v>0</v>
      </c>
    </row>
    <row r="24" spans="1:2">
      <c r="A24" s="4" t="s">
        <v>23</v>
      </c>
      <c r="B24" s="4">
        <v>0</v>
      </c>
    </row>
    <row r="25" spans="1:2">
      <c r="A25" s="4" t="s">
        <v>13</v>
      </c>
      <c r="B25" s="4">
        <f>SUM(B22:B24)</f>
        <v>8260.8</v>
      </c>
    </row>
    <row r="27" spans="1:2">
      <c r="A27" s="4" t="s">
        <v>24</v>
      </c>
      <c r="B27" s="4">
        <v>0</v>
      </c>
    </row>
    <row r="28" spans="1:2">
      <c r="A28" s="4" t="s">
        <v>25</v>
      </c>
      <c r="B28" s="4">
        <v>0</v>
      </c>
    </row>
    <row r="29" spans="1:2">
      <c r="A29" s="4"/>
      <c r="B29" s="4">
        <v>0</v>
      </c>
    </row>
    <row r="30" spans="1:2">
      <c r="A30" s="4"/>
      <c r="B30" s="4">
        <v>0</v>
      </c>
    </row>
    <row r="31" spans="1:2">
      <c r="A31" s="4"/>
      <c r="B31" s="4">
        <v>0</v>
      </c>
    </row>
    <row r="32" spans="1:2">
      <c r="A32" s="4" t="s">
        <v>13</v>
      </c>
      <c r="B32" s="4">
        <f>SUM(B27:B31)</f>
        <v>0</v>
      </c>
    </row>
    <row r="34" ht="20.25" spans="1:9">
      <c r="A34" s="19" t="s">
        <v>26</v>
      </c>
      <c r="B34" s="19"/>
      <c r="C34" s="19"/>
      <c r="D34" s="19"/>
      <c r="E34" s="19"/>
      <c r="F34" s="19"/>
      <c r="G34" s="19"/>
      <c r="H34" s="20">
        <f>B32</f>
        <v>0</v>
      </c>
      <c r="I34" s="20" t="s">
        <v>27</v>
      </c>
    </row>
    <row r="35" ht="20.25" spans="1:9">
      <c r="A35" s="19" t="s">
        <v>28</v>
      </c>
      <c r="B35" s="19"/>
      <c r="C35" s="19"/>
      <c r="D35" s="19"/>
      <c r="E35" s="19"/>
      <c r="F35" s="19"/>
      <c r="G35" s="19"/>
      <c r="H35" s="20">
        <v>0</v>
      </c>
      <c r="I35" s="20"/>
    </row>
  </sheetData>
  <mergeCells count="8">
    <mergeCell ref="A1:I1"/>
    <mergeCell ref="A11:B11"/>
    <mergeCell ref="A12:D12"/>
    <mergeCell ref="A19:B19"/>
    <mergeCell ref="A21:B21"/>
    <mergeCell ref="A34:G34"/>
    <mergeCell ref="A35:G35"/>
    <mergeCell ref="A7:A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2026-03-10T15:35:34Z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913F8B14E3074A9EA5E0D305BDF54931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